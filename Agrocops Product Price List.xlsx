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0e5bc1b4e57f/Desktop/"/>
    </mc:Choice>
  </mc:AlternateContent>
  <xr:revisionPtr revIDLastSave="1425" documentId="8_{936DAFFB-20B3-477C-9F8B-69923717CF59}" xr6:coauthVersionLast="47" xr6:coauthVersionMax="47" xr10:uidLastSave="{A7ACE011-CA41-4760-B06A-3E7FC2A2CECD}"/>
  <bookViews>
    <workbookView xWindow="-108" yWindow="-108" windowWidth="23256" windowHeight="13896" xr2:uid="{ADAB69C0-6604-44CB-81AD-B3930916B0DB}"/>
  </bookViews>
  <sheets>
    <sheet name="AGROCOPS PRODUCT COST" sheetId="7" r:id="rId1"/>
    <sheet name="MANUFACTURED PRODUCT RAW LIST" sheetId="2" r:id="rId2"/>
    <sheet name="PRODUCT WISE MONTHLY COST" sheetId="4" r:id="rId3"/>
    <sheet name="Sheet2" sheetId="6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38" i="7" l="1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I237" i="7"/>
  <c r="J237" i="7" s="1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J236" i="7" s="1"/>
  <c r="C236" i="7" s="1"/>
  <c r="B236" i="7"/>
  <c r="A236" i="7" s="1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Z233" i="7"/>
  <c r="Y233" i="7"/>
  <c r="X233" i="7"/>
  <c r="C233" i="7" s="1"/>
  <c r="B233" i="7" s="1"/>
  <c r="A233" i="7" s="1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I233" i="7"/>
  <c r="J233" i="7" s="1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I232" i="7"/>
  <c r="J232" i="7" s="1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C231" i="7" s="1"/>
  <c r="B231" i="7" s="1"/>
  <c r="A231" i="7" s="1"/>
  <c r="M231" i="7"/>
  <c r="L231" i="7"/>
  <c r="K231" i="7"/>
  <c r="I231" i="7"/>
  <c r="J231" i="7" s="1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I230" i="7"/>
  <c r="J230" i="7" s="1"/>
  <c r="C230" i="7"/>
  <c r="B230" i="7" s="1"/>
  <c r="A230" i="7" s="1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I229" i="7"/>
  <c r="J229" i="7" s="1"/>
  <c r="Z228" i="7"/>
  <c r="Y228" i="7"/>
  <c r="X228" i="7"/>
  <c r="C228" i="7" s="1"/>
  <c r="B228" i="7" s="1"/>
  <c r="A228" i="7" s="1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I228" i="7"/>
  <c r="J228" i="7" s="1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I227" i="7"/>
  <c r="J227" i="7" s="1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C226" i="7" s="1"/>
  <c r="B226" i="7" s="1"/>
  <c r="A226" i="7" s="1"/>
  <c r="I226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J225" i="7" s="1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C223" i="7" s="1"/>
  <c r="B223" i="7" s="1"/>
  <c r="A223" i="7" s="1"/>
  <c r="K223" i="7"/>
  <c r="I223" i="7"/>
  <c r="J223" i="7" s="1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C222" i="7" s="1"/>
  <c r="J222" i="7"/>
  <c r="I222" i="7"/>
  <c r="B222" i="7"/>
  <c r="A222" i="7" s="1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I221" i="7"/>
  <c r="J221" i="7" s="1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C220" i="7" s="1"/>
  <c r="B220" i="7" s="1"/>
  <c r="A220" i="7" s="1"/>
  <c r="I220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I218" i="7"/>
  <c r="J218" i="7" s="1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J216" i="7" s="1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C215" i="7" s="1"/>
  <c r="B215" i="7" s="1"/>
  <c r="A215" i="7" s="1"/>
  <c r="I215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J214" i="7" s="1"/>
  <c r="C214" i="7"/>
  <c r="B214" i="7" s="1"/>
  <c r="A214" i="7" s="1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I213" i="7"/>
  <c r="J213" i="7" s="1"/>
  <c r="C213" i="7" s="1"/>
  <c r="B213" i="7" s="1"/>
  <c r="A213" i="7" s="1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I212" i="7"/>
  <c r="J212" i="7" s="1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I211" i="7"/>
  <c r="J211" i="7" s="1"/>
  <c r="C211" i="7" s="1"/>
  <c r="B211" i="7" s="1"/>
  <c r="A211" i="7" s="1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C210" i="7" s="1"/>
  <c r="B210" i="7" s="1"/>
  <c r="A210" i="7" s="1"/>
  <c r="L210" i="7"/>
  <c r="K210" i="7"/>
  <c r="I210" i="7"/>
  <c r="J210" i="7" s="1"/>
  <c r="Z209" i="7"/>
  <c r="Y209" i="7"/>
  <c r="X209" i="7"/>
  <c r="C209" i="7" s="1"/>
  <c r="B209" i="7" s="1"/>
  <c r="A209" i="7" s="1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J209" i="7" s="1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I207" i="7"/>
  <c r="J207" i="7" s="1"/>
  <c r="C207" i="7" s="1"/>
  <c r="B207" i="7" s="1"/>
  <c r="A207" i="7" s="1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I205" i="7"/>
  <c r="J205" i="7" s="1"/>
  <c r="C205" i="7" s="1"/>
  <c r="B205" i="7" s="1"/>
  <c r="A205" i="7" s="1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I204" i="7"/>
  <c r="J204" i="7" s="1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C203" i="7" s="1"/>
  <c r="B203" i="7" s="1"/>
  <c r="A203" i="7" s="1"/>
  <c r="I203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I202" i="7"/>
  <c r="J202" i="7" s="1"/>
  <c r="C202" i="7" s="1"/>
  <c r="B202" i="7" s="1"/>
  <c r="A202" i="7" s="1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I201" i="7"/>
  <c r="J201" i="7" s="1"/>
  <c r="C201" i="7" s="1"/>
  <c r="B201" i="7" s="1"/>
  <c r="A201" i="7" s="1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J200" i="7" s="1"/>
  <c r="Z199" i="7"/>
  <c r="Y199" i="7"/>
  <c r="X199" i="7"/>
  <c r="W199" i="7"/>
  <c r="V199" i="7"/>
  <c r="U199" i="7"/>
  <c r="T199" i="7"/>
  <c r="S199" i="7"/>
  <c r="R199" i="7"/>
  <c r="Q199" i="7"/>
  <c r="P199" i="7"/>
  <c r="C199" i="7" s="1"/>
  <c r="B199" i="7" s="1"/>
  <c r="A199" i="7" s="1"/>
  <c r="O199" i="7"/>
  <c r="N199" i="7"/>
  <c r="M199" i="7"/>
  <c r="L199" i="7"/>
  <c r="K199" i="7"/>
  <c r="I199" i="7"/>
  <c r="J199" i="7" s="1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I198" i="7"/>
  <c r="J198" i="7" s="1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I197" i="7"/>
  <c r="J197" i="7" s="1"/>
  <c r="C197" i="7" s="1"/>
  <c r="B197" i="7" s="1"/>
  <c r="A197" i="7" s="1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J196" i="7" s="1"/>
  <c r="C196" i="7"/>
  <c r="B196" i="7" s="1"/>
  <c r="A196" i="7" s="1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I195" i="7"/>
  <c r="J195" i="7" s="1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I193" i="7"/>
  <c r="J193" i="7" s="1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Z191" i="7"/>
  <c r="Y191" i="7"/>
  <c r="X191" i="7"/>
  <c r="W191" i="7"/>
  <c r="V191" i="7"/>
  <c r="C191" i="7" s="1"/>
  <c r="B191" i="7" s="1"/>
  <c r="A191" i="7" s="1"/>
  <c r="U191" i="7"/>
  <c r="T191" i="7"/>
  <c r="S191" i="7"/>
  <c r="R191" i="7"/>
  <c r="Q191" i="7"/>
  <c r="P191" i="7"/>
  <c r="O191" i="7"/>
  <c r="N191" i="7"/>
  <c r="M191" i="7"/>
  <c r="L191" i="7"/>
  <c r="K191" i="7"/>
  <c r="I191" i="7"/>
  <c r="J191" i="7" s="1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C190" i="7" s="1"/>
  <c r="B190" i="7" s="1"/>
  <c r="A190" i="7" s="1"/>
  <c r="J190" i="7"/>
  <c r="I190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I189" i="7"/>
  <c r="J189" i="7" s="1"/>
  <c r="C189" i="7" s="1"/>
  <c r="B189" i="7" s="1"/>
  <c r="A189" i="7" s="1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I188" i="7"/>
  <c r="J188" i="7" s="1"/>
  <c r="C188" i="7" s="1"/>
  <c r="B188" i="7" s="1"/>
  <c r="A188" i="7" s="1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Z185" i="7"/>
  <c r="Y185" i="7"/>
  <c r="X185" i="7"/>
  <c r="C185" i="7" s="1"/>
  <c r="B185" i="7" s="1"/>
  <c r="A185" i="7" s="1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I185" i="7"/>
  <c r="J185" i="7" s="1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I183" i="7"/>
  <c r="J183" i="7" s="1"/>
  <c r="Z182" i="7"/>
  <c r="Y182" i="7"/>
  <c r="X182" i="7"/>
  <c r="W182" i="7"/>
  <c r="V182" i="7"/>
  <c r="U182" i="7"/>
  <c r="T182" i="7"/>
  <c r="S182" i="7"/>
  <c r="R182" i="7"/>
  <c r="Q182" i="7"/>
  <c r="P182" i="7"/>
  <c r="O182" i="7"/>
  <c r="C182" i="7" s="1"/>
  <c r="B182" i="7" s="1"/>
  <c r="A182" i="7" s="1"/>
  <c r="N182" i="7"/>
  <c r="M182" i="7"/>
  <c r="L182" i="7"/>
  <c r="K182" i="7"/>
  <c r="I182" i="7"/>
  <c r="J182" i="7" s="1"/>
  <c r="Z181" i="7"/>
  <c r="Y181" i="7"/>
  <c r="X181" i="7"/>
  <c r="W181" i="7"/>
  <c r="V181" i="7"/>
  <c r="U181" i="7"/>
  <c r="T181" i="7"/>
  <c r="S181" i="7"/>
  <c r="C181" i="7" s="1"/>
  <c r="B181" i="7" s="1"/>
  <c r="A181" i="7" s="1"/>
  <c r="R181" i="7"/>
  <c r="Q181" i="7"/>
  <c r="P181" i="7"/>
  <c r="O181" i="7"/>
  <c r="N181" i="7"/>
  <c r="M181" i="7"/>
  <c r="L181" i="7"/>
  <c r="K181" i="7"/>
  <c r="I181" i="7"/>
  <c r="J181" i="7" s="1"/>
  <c r="Z180" i="7"/>
  <c r="Y180" i="7"/>
  <c r="X180" i="7"/>
  <c r="W180" i="7"/>
  <c r="V180" i="7"/>
  <c r="C180" i="7" s="1"/>
  <c r="B180" i="7" s="1"/>
  <c r="A180" i="7" s="1"/>
  <c r="U180" i="7"/>
  <c r="T180" i="7"/>
  <c r="S180" i="7"/>
  <c r="R180" i="7"/>
  <c r="Q180" i="7"/>
  <c r="P180" i="7"/>
  <c r="O180" i="7"/>
  <c r="N180" i="7"/>
  <c r="M180" i="7"/>
  <c r="L180" i="7"/>
  <c r="K180" i="7"/>
  <c r="I180" i="7"/>
  <c r="J180" i="7" s="1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I179" i="7"/>
  <c r="J179" i="7" s="1"/>
  <c r="C179" i="7" s="1"/>
  <c r="B179" i="7" s="1"/>
  <c r="A179" i="7" s="1"/>
  <c r="Z178" i="7"/>
  <c r="Y178" i="7"/>
  <c r="X178" i="7"/>
  <c r="W178" i="7"/>
  <c r="C178" i="7" s="1"/>
  <c r="B178" i="7" s="1"/>
  <c r="A178" i="7" s="1"/>
  <c r="V178" i="7"/>
  <c r="U178" i="7"/>
  <c r="T178" i="7"/>
  <c r="S178" i="7"/>
  <c r="R178" i="7"/>
  <c r="Q178" i="7"/>
  <c r="P178" i="7"/>
  <c r="O178" i="7"/>
  <c r="N178" i="7"/>
  <c r="M178" i="7"/>
  <c r="L178" i="7"/>
  <c r="K178" i="7"/>
  <c r="I178" i="7"/>
  <c r="J178" i="7" s="1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C177" i="7" s="1"/>
  <c r="B177" i="7" s="1"/>
  <c r="A177" i="7" s="1"/>
  <c r="K177" i="7"/>
  <c r="I177" i="7"/>
  <c r="J177" i="7" s="1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C175" i="7" s="1"/>
  <c r="B175" i="7" s="1"/>
  <c r="A175" i="7" s="1"/>
  <c r="I175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I173" i="7"/>
  <c r="J173" i="7" s="1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I172" i="7"/>
  <c r="J172" i="7" s="1"/>
  <c r="C172" i="7" s="1"/>
  <c r="B172" i="7" s="1"/>
  <c r="A172" i="7" s="1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C170" i="7" s="1"/>
  <c r="B170" i="7" s="1"/>
  <c r="A170" i="7" s="1"/>
  <c r="N170" i="7"/>
  <c r="M170" i="7"/>
  <c r="L170" i="7"/>
  <c r="K170" i="7"/>
  <c r="I170" i="7"/>
  <c r="J170" i="7" s="1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I168" i="7"/>
  <c r="J168" i="7" s="1"/>
  <c r="C168" i="7" s="1"/>
  <c r="B168" i="7" s="1"/>
  <c r="A168" i="7" s="1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I167" i="7"/>
  <c r="J167" i="7" s="1"/>
  <c r="C167" i="7" s="1"/>
  <c r="B167" i="7" s="1"/>
  <c r="A167" i="7" s="1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C166" i="7" s="1"/>
  <c r="B166" i="7" s="1"/>
  <c r="A166" i="7" s="1"/>
  <c r="K166" i="7"/>
  <c r="I166" i="7"/>
  <c r="J166" i="7" s="1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C164" i="7" s="1"/>
  <c r="B164" i="7" s="1"/>
  <c r="A164" i="7" s="1"/>
  <c r="L164" i="7"/>
  <c r="K164" i="7"/>
  <c r="I164" i="7"/>
  <c r="J164" i="7" s="1"/>
  <c r="Z163" i="7"/>
  <c r="Y163" i="7"/>
  <c r="X163" i="7"/>
  <c r="W163" i="7"/>
  <c r="V163" i="7"/>
  <c r="U163" i="7"/>
  <c r="T163" i="7"/>
  <c r="S163" i="7"/>
  <c r="R163" i="7"/>
  <c r="C163" i="7" s="1"/>
  <c r="B163" i="7" s="1"/>
  <c r="A163" i="7" s="1"/>
  <c r="Q163" i="7"/>
  <c r="P163" i="7"/>
  <c r="O163" i="7"/>
  <c r="N163" i="7"/>
  <c r="M163" i="7"/>
  <c r="L163" i="7"/>
  <c r="K163" i="7"/>
  <c r="I163" i="7"/>
  <c r="J163" i="7" s="1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I162" i="7"/>
  <c r="J162" i="7" s="1"/>
  <c r="Z161" i="7"/>
  <c r="Y161" i="7"/>
  <c r="X161" i="7"/>
  <c r="C161" i="7" s="1"/>
  <c r="B161" i="7" s="1"/>
  <c r="A161" i="7" s="1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I161" i="7"/>
  <c r="J161" i="7" s="1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I159" i="7"/>
  <c r="J159" i="7" s="1"/>
  <c r="C159" i="7" s="1"/>
  <c r="B159" i="7" s="1"/>
  <c r="A159" i="7" s="1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I157" i="7"/>
  <c r="J157" i="7" s="1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I156" i="7"/>
  <c r="J156" i="7" s="1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I154" i="7"/>
  <c r="J154" i="7" s="1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I153" i="7"/>
  <c r="J153" i="7" s="1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I152" i="7"/>
  <c r="J152" i="7" s="1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I151" i="7"/>
  <c r="J151" i="7" s="1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C150" i="7" s="1"/>
  <c r="B150" i="7" s="1"/>
  <c r="A150" i="7" s="1"/>
  <c r="L150" i="7"/>
  <c r="K150" i="7"/>
  <c r="I150" i="7"/>
  <c r="J150" i="7" s="1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I149" i="7"/>
  <c r="J149" i="7" s="1"/>
  <c r="C149" i="7" s="1"/>
  <c r="B149" i="7" s="1"/>
  <c r="A149" i="7" s="1"/>
  <c r="Z148" i="7"/>
  <c r="Y148" i="7"/>
  <c r="X148" i="7"/>
  <c r="W148" i="7"/>
  <c r="V148" i="7"/>
  <c r="U148" i="7"/>
  <c r="T148" i="7"/>
  <c r="S148" i="7"/>
  <c r="R148" i="7"/>
  <c r="Q148" i="7"/>
  <c r="C148" i="7" s="1"/>
  <c r="B148" i="7" s="1"/>
  <c r="A148" i="7" s="1"/>
  <c r="P148" i="7"/>
  <c r="O148" i="7"/>
  <c r="N148" i="7"/>
  <c r="M148" i="7"/>
  <c r="L148" i="7"/>
  <c r="K148" i="7"/>
  <c r="I148" i="7"/>
  <c r="J148" i="7" s="1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I147" i="7"/>
  <c r="J147" i="7" s="1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J146" i="7" s="1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I145" i="7"/>
  <c r="J145" i="7" s="1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Z143" i="7"/>
  <c r="Y143" i="7"/>
  <c r="X143" i="7"/>
  <c r="W143" i="7"/>
  <c r="V143" i="7"/>
  <c r="C143" i="7" s="1"/>
  <c r="B143" i="7" s="1"/>
  <c r="A143" i="7" s="1"/>
  <c r="U143" i="7"/>
  <c r="T143" i="7"/>
  <c r="S143" i="7"/>
  <c r="R143" i="7"/>
  <c r="Q143" i="7"/>
  <c r="P143" i="7"/>
  <c r="O143" i="7"/>
  <c r="N143" i="7"/>
  <c r="M143" i="7"/>
  <c r="L143" i="7"/>
  <c r="K143" i="7"/>
  <c r="I143" i="7"/>
  <c r="J143" i="7" s="1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C142" i="7" s="1"/>
  <c r="B142" i="7" s="1"/>
  <c r="A142" i="7" s="1"/>
  <c r="J142" i="7"/>
  <c r="I142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I141" i="7"/>
  <c r="J141" i="7" s="1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I140" i="7"/>
  <c r="J140" i="7" s="1"/>
  <c r="C140" i="7" s="1"/>
  <c r="B140" i="7" s="1"/>
  <c r="A140" i="7" s="1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I138" i="7"/>
  <c r="J138" i="7" s="1"/>
  <c r="Z137" i="7"/>
  <c r="Y137" i="7"/>
  <c r="X137" i="7"/>
  <c r="W137" i="7"/>
  <c r="V137" i="7"/>
  <c r="U137" i="7"/>
  <c r="T137" i="7"/>
  <c r="S137" i="7"/>
  <c r="R137" i="7"/>
  <c r="Q137" i="7"/>
  <c r="P137" i="7"/>
  <c r="C137" i="7" s="1"/>
  <c r="B137" i="7" s="1"/>
  <c r="A137" i="7" s="1"/>
  <c r="O137" i="7"/>
  <c r="N137" i="7"/>
  <c r="M137" i="7"/>
  <c r="L137" i="7"/>
  <c r="K137" i="7"/>
  <c r="I137" i="7"/>
  <c r="J137" i="7" s="1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I136" i="7"/>
  <c r="J136" i="7" s="1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I135" i="7"/>
  <c r="J135" i="7" s="1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I133" i="7"/>
  <c r="J133" i="7" s="1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C131" i="7" s="1"/>
  <c r="B131" i="7" s="1"/>
  <c r="A131" i="7" s="1"/>
  <c r="I131" i="7"/>
  <c r="J131" i="7" s="1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C129" i="7" s="1"/>
  <c r="B129" i="7" s="1"/>
  <c r="A129" i="7" s="1"/>
  <c r="N129" i="7"/>
  <c r="M129" i="7"/>
  <c r="L129" i="7"/>
  <c r="K129" i="7"/>
  <c r="I129" i="7"/>
  <c r="J129" i="7" s="1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I127" i="7"/>
  <c r="J127" i="7" s="1"/>
  <c r="C127" i="7" s="1"/>
  <c r="B127" i="7" s="1"/>
  <c r="A127" i="7" s="1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C126" i="7" s="1"/>
  <c r="B126" i="7" s="1"/>
  <c r="A126" i="7" s="1"/>
  <c r="K126" i="7"/>
  <c r="J126" i="7"/>
  <c r="I126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I124" i="7"/>
  <c r="J124" i="7" s="1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C123" i="7" s="1"/>
  <c r="B123" i="7" s="1"/>
  <c r="A123" i="7" s="1"/>
  <c r="I123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I122" i="7"/>
  <c r="J122" i="7" s="1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I121" i="7"/>
  <c r="J121" i="7" s="1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C120" i="7" s="1"/>
  <c r="B120" i="7" s="1"/>
  <c r="A120" i="7" s="1"/>
  <c r="I120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J118" i="7" s="1"/>
  <c r="C118" i="7"/>
  <c r="B118" i="7" s="1"/>
  <c r="A118" i="7" s="1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C117" i="7" s="1"/>
  <c r="B117" i="7" s="1"/>
  <c r="A117" i="7" s="1"/>
  <c r="K117" i="7"/>
  <c r="I117" i="7"/>
  <c r="J117" i="7" s="1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I116" i="7"/>
  <c r="J116" i="7" s="1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I115" i="7"/>
  <c r="J115" i="7" s="1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J113" i="7" s="1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C112" i="7"/>
  <c r="B112" i="7" s="1"/>
  <c r="A112" i="7" s="1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I111" i="7"/>
  <c r="J111" i="7" s="1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I109" i="7"/>
  <c r="J109" i="7" s="1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I106" i="7"/>
  <c r="J106" i="7" s="1"/>
  <c r="Z105" i="7"/>
  <c r="Y105" i="7"/>
  <c r="X105" i="7"/>
  <c r="C105" i="7" s="1"/>
  <c r="B105" i="7" s="1"/>
  <c r="A105" i="7" s="1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I105" i="7"/>
  <c r="J105" i="7" s="1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J104" i="7" s="1"/>
  <c r="Z103" i="7"/>
  <c r="Y103" i="7"/>
  <c r="X103" i="7"/>
  <c r="C103" i="7" s="1"/>
  <c r="B103" i="7" s="1"/>
  <c r="A103" i="7" s="1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I103" i="7"/>
  <c r="J103" i="7" s="1"/>
  <c r="Z102" i="7"/>
  <c r="Y102" i="7"/>
  <c r="X102" i="7"/>
  <c r="C102" i="7" s="1"/>
  <c r="B102" i="7" s="1"/>
  <c r="A102" i="7" s="1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I102" i="7"/>
  <c r="J102" i="7" s="1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I101" i="7"/>
  <c r="J101" i="7" s="1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I100" i="7"/>
  <c r="J100" i="7" s="1"/>
  <c r="Z99" i="7"/>
  <c r="Y99" i="7"/>
  <c r="X99" i="7"/>
  <c r="W99" i="7"/>
  <c r="V99" i="7"/>
  <c r="U99" i="7"/>
  <c r="T99" i="7"/>
  <c r="S99" i="7"/>
  <c r="R99" i="7"/>
  <c r="C99" i="7" s="1"/>
  <c r="B99" i="7" s="1"/>
  <c r="A99" i="7" s="1"/>
  <c r="Q99" i="7"/>
  <c r="P99" i="7"/>
  <c r="O99" i="7"/>
  <c r="N99" i="7"/>
  <c r="M99" i="7"/>
  <c r="L99" i="7"/>
  <c r="K99" i="7"/>
  <c r="I99" i="7"/>
  <c r="J99" i="7" s="1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J98" i="7" s="1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I97" i="7"/>
  <c r="J97" i="7" s="1"/>
  <c r="C97" i="7" s="1"/>
  <c r="B97" i="7" s="1"/>
  <c r="A97" i="7" s="1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C94" i="7" s="1"/>
  <c r="B94" i="7" s="1"/>
  <c r="A94" i="7" s="1"/>
  <c r="J94" i="7"/>
  <c r="I94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I93" i="7"/>
  <c r="J93" i="7" s="1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I92" i="7"/>
  <c r="J92" i="7" s="1"/>
  <c r="C92" i="7" s="1"/>
  <c r="B92" i="7" s="1"/>
  <c r="A92" i="7" s="1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I90" i="7"/>
  <c r="J90" i="7" s="1"/>
  <c r="C90" i="7" s="1"/>
  <c r="B90" i="7" s="1"/>
  <c r="A90" i="7" s="1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J89" i="7" s="1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I87" i="7"/>
  <c r="J87" i="7" s="1"/>
  <c r="C87" i="7" s="1"/>
  <c r="B87" i="7" s="1"/>
  <c r="A87" i="7" s="1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C86" i="7" s="1"/>
  <c r="B86" i="7" s="1"/>
  <c r="A86" i="7" s="1"/>
  <c r="I86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C85" i="7" s="1"/>
  <c r="B85" i="7" s="1"/>
  <c r="A85" i="7" s="1"/>
  <c r="L85" i="7"/>
  <c r="K85" i="7"/>
  <c r="I85" i="7"/>
  <c r="J85" i="7" s="1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J84" i="7" s="1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I83" i="7"/>
  <c r="J83" i="7" s="1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I82" i="7"/>
  <c r="J82" i="7" s="1"/>
  <c r="C82" i="7" s="1"/>
  <c r="B82" i="7" s="1"/>
  <c r="A82" i="7" s="1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I81" i="7"/>
  <c r="J81" i="7" s="1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Z79" i="7"/>
  <c r="Y79" i="7"/>
  <c r="X79" i="7"/>
  <c r="C79" i="7" s="1"/>
  <c r="B79" i="7" s="1"/>
  <c r="A79" i="7" s="1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I79" i="7"/>
  <c r="J79" i="7" s="1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I77" i="7"/>
  <c r="J77" i="7" s="1"/>
  <c r="C77" i="7" s="1"/>
  <c r="B77" i="7" s="1"/>
  <c r="A77" i="7" s="1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I76" i="7"/>
  <c r="J76" i="7" s="1"/>
  <c r="C76" i="7" s="1"/>
  <c r="B76" i="7" s="1"/>
  <c r="A76" i="7" s="1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Z74" i="7"/>
  <c r="Y74" i="7"/>
  <c r="X74" i="7"/>
  <c r="W74" i="7"/>
  <c r="V74" i="7"/>
  <c r="U74" i="7"/>
  <c r="T74" i="7"/>
  <c r="S74" i="7"/>
  <c r="R74" i="7"/>
  <c r="C74" i="7" s="1"/>
  <c r="B74" i="7" s="1"/>
  <c r="A74" i="7" s="1"/>
  <c r="Q74" i="7"/>
  <c r="P74" i="7"/>
  <c r="O74" i="7"/>
  <c r="N74" i="7"/>
  <c r="M74" i="7"/>
  <c r="L74" i="7"/>
  <c r="K74" i="7"/>
  <c r="I74" i="7"/>
  <c r="J74" i="7" s="1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J72" i="7" s="1"/>
  <c r="C72" i="7" s="1"/>
  <c r="B72" i="7" s="1"/>
  <c r="A72" i="7" s="1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C71" i="7" s="1"/>
  <c r="B71" i="7" s="1"/>
  <c r="A71" i="7" s="1"/>
  <c r="I71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C70" i="7" s="1"/>
  <c r="B70" i="7" s="1"/>
  <c r="A70" i="7" s="1"/>
  <c r="L70" i="7"/>
  <c r="K70" i="7"/>
  <c r="I70" i="7"/>
  <c r="J70" i="7" s="1"/>
  <c r="Z69" i="7"/>
  <c r="Y69" i="7"/>
  <c r="X69" i="7"/>
  <c r="W69" i="7"/>
  <c r="V69" i="7"/>
  <c r="U69" i="7"/>
  <c r="T69" i="7"/>
  <c r="S69" i="7"/>
  <c r="R69" i="7"/>
  <c r="C69" i="7" s="1"/>
  <c r="B69" i="7" s="1"/>
  <c r="A69" i="7" s="1"/>
  <c r="Q69" i="7"/>
  <c r="P69" i="7"/>
  <c r="O69" i="7"/>
  <c r="N69" i="7"/>
  <c r="M69" i="7"/>
  <c r="L69" i="7"/>
  <c r="K69" i="7"/>
  <c r="I69" i="7"/>
  <c r="J69" i="7" s="1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J68" i="7" s="1"/>
  <c r="C68" i="7" s="1"/>
  <c r="B68" i="7" s="1"/>
  <c r="A68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I67" i="7"/>
  <c r="J67" i="7" s="1"/>
  <c r="C67" i="7" s="1"/>
  <c r="B67" i="7" s="1"/>
  <c r="A67" i="7" s="1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I66" i="7"/>
  <c r="J66" i="7" s="1"/>
  <c r="C66" i="7" s="1"/>
  <c r="B66" i="7" s="1"/>
  <c r="A66" i="7" s="1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J65" i="7" s="1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C64" i="7"/>
  <c r="B64" i="7" s="1"/>
  <c r="A64" i="7" s="1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I63" i="7"/>
  <c r="J63" i="7" s="1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C62" i="7" s="1"/>
  <c r="B62" i="7" s="1"/>
  <c r="A62" i="7" s="1"/>
  <c r="J62" i="7"/>
  <c r="I62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C61" i="7" s="1"/>
  <c r="B61" i="7" s="1"/>
  <c r="A61" i="7" s="1"/>
  <c r="I61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I60" i="7"/>
  <c r="J60" i="7" s="1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Z58" i="7"/>
  <c r="Y58" i="7"/>
  <c r="X58" i="7"/>
  <c r="W58" i="7"/>
  <c r="V58" i="7"/>
  <c r="U58" i="7"/>
  <c r="T58" i="7"/>
  <c r="C58" i="7" s="1"/>
  <c r="B58" i="7" s="1"/>
  <c r="A58" i="7" s="1"/>
  <c r="S58" i="7"/>
  <c r="R58" i="7"/>
  <c r="Q58" i="7"/>
  <c r="P58" i="7"/>
  <c r="O58" i="7"/>
  <c r="N58" i="7"/>
  <c r="M58" i="7"/>
  <c r="L58" i="7"/>
  <c r="K58" i="7"/>
  <c r="I58" i="7"/>
  <c r="J58" i="7" s="1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I57" i="7"/>
  <c r="J57" i="7" s="1"/>
  <c r="C57" i="7" s="1"/>
  <c r="B57" i="7" s="1"/>
  <c r="A57" i="7" s="1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I56" i="7"/>
  <c r="J56" i="7" s="1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I55" i="7"/>
  <c r="J55" i="7" s="1"/>
  <c r="C55" i="7" s="1"/>
  <c r="B55" i="7" s="1"/>
  <c r="A55" i="7" s="1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J54" i="7" s="1"/>
  <c r="Z53" i="7"/>
  <c r="Y53" i="7"/>
  <c r="X53" i="7"/>
  <c r="C53" i="7" s="1"/>
  <c r="B53" i="7" s="1"/>
  <c r="A53" i="7" s="1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I53" i="7"/>
  <c r="J53" i="7" s="1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I51" i="7"/>
  <c r="J51" i="7" s="1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J50" i="7" s="1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I49" i="7"/>
  <c r="J49" i="7" s="1"/>
  <c r="C49" i="7" s="1"/>
  <c r="B49" i="7" s="1"/>
  <c r="A49" i="7" s="1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C47" i="7" s="1"/>
  <c r="B47" i="7" s="1"/>
  <c r="A47" i="7" s="1"/>
  <c r="I47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C46" i="7" s="1"/>
  <c r="B46" i="7" s="1"/>
  <c r="A46" i="7" s="1"/>
  <c r="M46" i="7"/>
  <c r="L46" i="7"/>
  <c r="K46" i="7"/>
  <c r="J46" i="7"/>
  <c r="I46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I44" i="7"/>
  <c r="J44" i="7" s="1"/>
  <c r="C44" i="7" s="1"/>
  <c r="B44" i="7" s="1"/>
  <c r="A44" i="7" s="1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I42" i="7"/>
  <c r="J42" i="7" s="1"/>
  <c r="C42" i="7" s="1"/>
  <c r="B42" i="7" s="1"/>
  <c r="A42" i="7" s="1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I41" i="7"/>
  <c r="J41" i="7" s="1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I40" i="7"/>
  <c r="J40" i="7" s="1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C39" i="7" s="1"/>
  <c r="B39" i="7" s="1"/>
  <c r="A39" i="7" s="1"/>
  <c r="M39" i="7"/>
  <c r="L39" i="7"/>
  <c r="K39" i="7"/>
  <c r="I39" i="7"/>
  <c r="J39" i="7" s="1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J38" i="7" s="1"/>
  <c r="C38" i="7" s="1"/>
  <c r="B38" i="7" s="1"/>
  <c r="A38" i="7" s="1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I37" i="7"/>
  <c r="J37" i="7" s="1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I36" i="7"/>
  <c r="J36" i="7" s="1"/>
  <c r="Z35" i="7"/>
  <c r="Y35" i="7"/>
  <c r="X35" i="7"/>
  <c r="W35" i="7"/>
  <c r="V35" i="7"/>
  <c r="U35" i="7"/>
  <c r="T35" i="7"/>
  <c r="C35" i="7" s="1"/>
  <c r="B35" i="7" s="1"/>
  <c r="A35" i="7" s="1"/>
  <c r="S35" i="7"/>
  <c r="R35" i="7"/>
  <c r="Q35" i="7"/>
  <c r="P35" i="7"/>
  <c r="O35" i="7"/>
  <c r="N35" i="7"/>
  <c r="M35" i="7"/>
  <c r="L35" i="7"/>
  <c r="K35" i="7"/>
  <c r="I35" i="7"/>
  <c r="J35" i="7" s="1"/>
  <c r="Z34" i="7"/>
  <c r="Y34" i="7"/>
  <c r="X34" i="7"/>
  <c r="C34" i="7" s="1"/>
  <c r="B34" i="7" s="1"/>
  <c r="A34" i="7" s="1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I34" i="7"/>
  <c r="J34" i="7" s="1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I33" i="7"/>
  <c r="J33" i="7" s="1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I31" i="7"/>
  <c r="J31" i="7" s="1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J29" i="7" s="1"/>
  <c r="Z28" i="7"/>
  <c r="Y28" i="7"/>
  <c r="X28" i="7"/>
  <c r="C28" i="7" s="1"/>
  <c r="B28" i="7" s="1"/>
  <c r="A28" i="7" s="1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I28" i="7"/>
  <c r="J28" i="7" s="1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I26" i="7"/>
  <c r="J26" i="7" s="1"/>
  <c r="C26" i="7"/>
  <c r="B26" i="7" s="1"/>
  <c r="A26" i="7" s="1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I25" i="7"/>
  <c r="J25" i="7" s="1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J24" i="7" s="1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I23" i="7"/>
  <c r="J23" i="7" s="1"/>
  <c r="C23" i="7" s="1"/>
  <c r="B23" i="7" s="1"/>
  <c r="A23" i="7" s="1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I22" i="7"/>
  <c r="J22" i="7" s="1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C20" i="7" s="1"/>
  <c r="B20" i="7" s="1"/>
  <c r="A20" i="7" s="1"/>
  <c r="I20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I19" i="7"/>
  <c r="J19" i="7" s="1"/>
  <c r="C19" i="7"/>
  <c r="B19" i="7" s="1"/>
  <c r="A19" i="7" s="1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I18" i="7"/>
  <c r="J18" i="7" s="1"/>
  <c r="C18" i="7"/>
  <c r="B18" i="7" s="1"/>
  <c r="A18" i="7" s="1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I17" i="7"/>
  <c r="J17" i="7" s="1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C16" i="7" s="1"/>
  <c r="B16" i="7" s="1"/>
  <c r="A16" i="7" s="1"/>
  <c r="M16" i="7"/>
  <c r="L16" i="7"/>
  <c r="K16" i="7"/>
  <c r="J16" i="7"/>
  <c r="I16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Z14" i="7"/>
  <c r="Y14" i="7"/>
  <c r="X14" i="7"/>
  <c r="W14" i="7"/>
  <c r="V14" i="7"/>
  <c r="U14" i="7"/>
  <c r="C14" i="7" s="1"/>
  <c r="B14" i="7" s="1"/>
  <c r="A14" i="7" s="1"/>
  <c r="T14" i="7"/>
  <c r="S14" i="7"/>
  <c r="R14" i="7"/>
  <c r="Q14" i="7"/>
  <c r="P14" i="7"/>
  <c r="O14" i="7"/>
  <c r="N14" i="7"/>
  <c r="M14" i="7"/>
  <c r="L14" i="7"/>
  <c r="K14" i="7"/>
  <c r="J14" i="7"/>
  <c r="I14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I13" i="7"/>
  <c r="J13" i="7" s="1"/>
  <c r="C13" i="7" s="1"/>
  <c r="B13" i="7" s="1"/>
  <c r="A13" i="7" s="1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I12" i="7"/>
  <c r="J12" i="7" s="1"/>
  <c r="C12" i="7" s="1"/>
  <c r="B12" i="7" s="1"/>
  <c r="A12" i="7" s="1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I9" i="7"/>
  <c r="J9" i="7" s="1"/>
  <c r="C9" i="7" s="1"/>
  <c r="B9" i="7" s="1"/>
  <c r="A9" i="7" s="1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I7" i="7"/>
  <c r="J7" i="7" s="1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C6" i="7" s="1"/>
  <c r="B6" i="7" s="1"/>
  <c r="A6" i="7" s="1"/>
  <c r="I6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I5" i="7"/>
  <c r="J5" i="7" s="1"/>
  <c r="C5" i="7"/>
  <c r="B5" i="7" s="1"/>
  <c r="A5" i="7" s="1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I4" i="7"/>
  <c r="J4" i="7" s="1"/>
  <c r="C4" i="7" s="1"/>
  <c r="B4" i="7" s="1"/>
  <c r="A4" i="7" s="1"/>
  <c r="Z3" i="7"/>
  <c r="Y3" i="7"/>
  <c r="X3" i="7"/>
  <c r="W3" i="7"/>
  <c r="V3" i="7"/>
  <c r="U3" i="7"/>
  <c r="T3" i="7"/>
  <c r="S3" i="7"/>
  <c r="R3" i="7"/>
  <c r="C3" i="7" s="1"/>
  <c r="B3" i="7" s="1"/>
  <c r="A3" i="7" s="1"/>
  <c r="Q3" i="7"/>
  <c r="P3" i="7"/>
  <c r="O3" i="7"/>
  <c r="N3" i="7"/>
  <c r="M3" i="7"/>
  <c r="L3" i="7"/>
  <c r="K3" i="7"/>
  <c r="I3" i="7"/>
  <c r="J3" i="7" s="1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G4" i="6"/>
  <c r="H4" i="6"/>
  <c r="C4" i="6" s="1"/>
  <c r="B4" i="6" s="1"/>
  <c r="A4" i="6" s="1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G5" i="6"/>
  <c r="H5" i="6"/>
  <c r="C5" i="6" s="1"/>
  <c r="B5" i="6" s="1"/>
  <c r="A5" i="6" s="1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G6" i="6"/>
  <c r="H6" i="6"/>
  <c r="C6" i="6" s="1"/>
  <c r="B6" i="6" s="1"/>
  <c r="A6" i="6" s="1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G7" i="6"/>
  <c r="H7" i="6"/>
  <c r="C7" i="6" s="1"/>
  <c r="B7" i="6" s="1"/>
  <c r="A7" i="6" s="1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G8" i="6"/>
  <c r="H8" i="6"/>
  <c r="C8" i="6" s="1"/>
  <c r="B8" i="6" s="1"/>
  <c r="A8" i="6" s="1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G9" i="6"/>
  <c r="H9" i="6"/>
  <c r="C9" i="6" s="1"/>
  <c r="B9" i="6" s="1"/>
  <c r="A9" i="6" s="1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G10" i="6"/>
  <c r="H10" i="6"/>
  <c r="C10" i="6" s="1"/>
  <c r="B10" i="6" s="1"/>
  <c r="A10" i="6" s="1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G11" i="6"/>
  <c r="H11" i="6"/>
  <c r="C11" i="6" s="1"/>
  <c r="B11" i="6" s="1"/>
  <c r="A11" i="6" s="1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G12" i="6"/>
  <c r="H12" i="6"/>
  <c r="C12" i="6" s="1"/>
  <c r="B12" i="6" s="1"/>
  <c r="A12" i="6" s="1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G13" i="6"/>
  <c r="H13" i="6"/>
  <c r="C13" i="6" s="1"/>
  <c r="B13" i="6" s="1"/>
  <c r="A13" i="6" s="1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G14" i="6"/>
  <c r="H14" i="6"/>
  <c r="C14" i="6" s="1"/>
  <c r="B14" i="6" s="1"/>
  <c r="A14" i="6" s="1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G15" i="6"/>
  <c r="H15" i="6"/>
  <c r="C15" i="6" s="1"/>
  <c r="B15" i="6" s="1"/>
  <c r="A15" i="6" s="1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G16" i="6"/>
  <c r="H16" i="6"/>
  <c r="C16" i="6" s="1"/>
  <c r="B16" i="6" s="1"/>
  <c r="A16" i="6" s="1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G17" i="6"/>
  <c r="H17" i="6"/>
  <c r="C17" i="6" s="1"/>
  <c r="B17" i="6" s="1"/>
  <c r="A17" i="6" s="1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G18" i="6"/>
  <c r="H18" i="6"/>
  <c r="C18" i="6" s="1"/>
  <c r="B18" i="6" s="1"/>
  <c r="A18" i="6" s="1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G19" i="6"/>
  <c r="H19" i="6"/>
  <c r="C19" i="6" s="1"/>
  <c r="B19" i="6" s="1"/>
  <c r="A19" i="6" s="1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G20" i="6"/>
  <c r="H20" i="6"/>
  <c r="C20" i="6" s="1"/>
  <c r="B20" i="6" s="1"/>
  <c r="A20" i="6" s="1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G21" i="6"/>
  <c r="H21" i="6"/>
  <c r="C21" i="6" s="1"/>
  <c r="B21" i="6" s="1"/>
  <c r="A21" i="6" s="1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G22" i="6"/>
  <c r="H22" i="6"/>
  <c r="C22" i="6" s="1"/>
  <c r="B22" i="6" s="1"/>
  <c r="A22" i="6" s="1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G23" i="6"/>
  <c r="H23" i="6"/>
  <c r="C23" i="6" s="1"/>
  <c r="B23" i="6" s="1"/>
  <c r="A23" i="6" s="1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G24" i="6"/>
  <c r="H24" i="6"/>
  <c r="C24" i="6" s="1"/>
  <c r="B24" i="6" s="1"/>
  <c r="A24" i="6" s="1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G25" i="6"/>
  <c r="H25" i="6"/>
  <c r="C25" i="6" s="1"/>
  <c r="B25" i="6" s="1"/>
  <c r="A25" i="6" s="1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G26" i="6"/>
  <c r="H26" i="6"/>
  <c r="C26" i="6" s="1"/>
  <c r="B26" i="6" s="1"/>
  <c r="A26" i="6" s="1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G27" i="6"/>
  <c r="H27" i="6"/>
  <c r="C27" i="6" s="1"/>
  <c r="B27" i="6" s="1"/>
  <c r="A27" i="6" s="1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G28" i="6"/>
  <c r="H28" i="6"/>
  <c r="C28" i="6" s="1"/>
  <c r="B28" i="6" s="1"/>
  <c r="A28" i="6" s="1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G29" i="6"/>
  <c r="H29" i="6"/>
  <c r="C29" i="6" s="1"/>
  <c r="B29" i="6" s="1"/>
  <c r="A29" i="6" s="1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G30" i="6"/>
  <c r="H30" i="6"/>
  <c r="C30" i="6" s="1"/>
  <c r="B30" i="6" s="1"/>
  <c r="A30" i="6" s="1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G31" i="6"/>
  <c r="H31" i="6"/>
  <c r="C31" i="6" s="1"/>
  <c r="B31" i="6" s="1"/>
  <c r="A31" i="6" s="1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G32" i="6"/>
  <c r="H32" i="6"/>
  <c r="C32" i="6" s="1"/>
  <c r="B32" i="6" s="1"/>
  <c r="A32" i="6" s="1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G33" i="6"/>
  <c r="H33" i="6"/>
  <c r="C33" i="6" s="1"/>
  <c r="B33" i="6" s="1"/>
  <c r="A33" i="6" s="1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G34" i="6"/>
  <c r="H34" i="6"/>
  <c r="C34" i="6" s="1"/>
  <c r="B34" i="6" s="1"/>
  <c r="A34" i="6" s="1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G35" i="6"/>
  <c r="H35" i="6"/>
  <c r="C35" i="6" s="1"/>
  <c r="B35" i="6" s="1"/>
  <c r="A35" i="6" s="1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G36" i="6"/>
  <c r="H36" i="6"/>
  <c r="C36" i="6" s="1"/>
  <c r="B36" i="6" s="1"/>
  <c r="A36" i="6" s="1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G37" i="6"/>
  <c r="H37" i="6"/>
  <c r="C37" i="6" s="1"/>
  <c r="B37" i="6" s="1"/>
  <c r="A37" i="6" s="1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G38" i="6"/>
  <c r="H38" i="6"/>
  <c r="C38" i="6" s="1"/>
  <c r="B38" i="6" s="1"/>
  <c r="A38" i="6" s="1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G39" i="6"/>
  <c r="H39" i="6"/>
  <c r="C39" i="6" s="1"/>
  <c r="B39" i="6" s="1"/>
  <c r="A39" i="6" s="1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G40" i="6"/>
  <c r="H40" i="6"/>
  <c r="C40" i="6" s="1"/>
  <c r="B40" i="6" s="1"/>
  <c r="A40" i="6" s="1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G41" i="6"/>
  <c r="H41" i="6"/>
  <c r="C41" i="6" s="1"/>
  <c r="B41" i="6" s="1"/>
  <c r="A41" i="6" s="1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G42" i="6"/>
  <c r="H42" i="6"/>
  <c r="C42" i="6" s="1"/>
  <c r="B42" i="6" s="1"/>
  <c r="A42" i="6" s="1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G43" i="6"/>
  <c r="H43" i="6"/>
  <c r="C43" i="6" s="1"/>
  <c r="B43" i="6" s="1"/>
  <c r="A43" i="6" s="1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G52" i="6"/>
  <c r="H52" i="6" s="1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G54" i="6"/>
  <c r="H54" i="6" s="1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C134" i="7" l="1"/>
  <c r="B134" i="7" s="1"/>
  <c r="A134" i="7" s="1"/>
  <c r="C36" i="7"/>
  <c r="B36" i="7" s="1"/>
  <c r="A36" i="7" s="1"/>
  <c r="C65" i="7"/>
  <c r="B65" i="7" s="1"/>
  <c r="A65" i="7" s="1"/>
  <c r="C89" i="7"/>
  <c r="B89" i="7" s="1"/>
  <c r="A89" i="7" s="1"/>
  <c r="C135" i="7"/>
  <c r="B135" i="7" s="1"/>
  <c r="A135" i="7" s="1"/>
  <c r="C193" i="7"/>
  <c r="B193" i="7" s="1"/>
  <c r="A193" i="7" s="1"/>
  <c r="C216" i="7"/>
  <c r="B216" i="7" s="1"/>
  <c r="A216" i="7" s="1"/>
  <c r="C7" i="7"/>
  <c r="B7" i="7" s="1"/>
  <c r="A7" i="7" s="1"/>
  <c r="C29" i="7"/>
  <c r="B29" i="7" s="1"/>
  <c r="A29" i="7" s="1"/>
  <c r="C96" i="7"/>
  <c r="B96" i="7" s="1"/>
  <c r="A96" i="7" s="1"/>
  <c r="C122" i="7"/>
  <c r="B122" i="7" s="1"/>
  <c r="A122" i="7" s="1"/>
  <c r="C133" i="7"/>
  <c r="B133" i="7" s="1"/>
  <c r="A133" i="7" s="1"/>
  <c r="C153" i="7"/>
  <c r="B153" i="7" s="1"/>
  <c r="A153" i="7" s="1"/>
  <c r="C155" i="7"/>
  <c r="B155" i="7" s="1"/>
  <c r="A155" i="7" s="1"/>
  <c r="C195" i="7"/>
  <c r="B195" i="7" s="1"/>
  <c r="A195" i="7" s="1"/>
  <c r="C234" i="7"/>
  <c r="B234" i="7" s="1"/>
  <c r="A234" i="7" s="1"/>
  <c r="C106" i="7"/>
  <c r="B106" i="7" s="1"/>
  <c r="A106" i="7" s="1"/>
  <c r="C114" i="7"/>
  <c r="B114" i="7" s="1"/>
  <c r="A114" i="7" s="1"/>
  <c r="C121" i="7"/>
  <c r="B121" i="7" s="1"/>
  <c r="A121" i="7" s="1"/>
  <c r="C128" i="7"/>
  <c r="B128" i="7" s="1"/>
  <c r="A128" i="7" s="1"/>
  <c r="C30" i="7"/>
  <c r="B30" i="7" s="1"/>
  <c r="A30" i="7" s="1"/>
  <c r="C147" i="7"/>
  <c r="B147" i="7" s="1"/>
  <c r="A147" i="7" s="1"/>
  <c r="C84" i="7"/>
  <c r="B84" i="7" s="1"/>
  <c r="A84" i="7" s="1"/>
  <c r="C138" i="7"/>
  <c r="B138" i="7" s="1"/>
  <c r="A138" i="7" s="1"/>
  <c r="C237" i="7"/>
  <c r="B237" i="7" s="1"/>
  <c r="A237" i="7" s="1"/>
  <c r="C25" i="7"/>
  <c r="B25" i="7" s="1"/>
  <c r="A25" i="7" s="1"/>
  <c r="C54" i="7"/>
  <c r="B54" i="7" s="1"/>
  <c r="A54" i="7" s="1"/>
  <c r="C101" i="7"/>
  <c r="B101" i="7" s="1"/>
  <c r="A101" i="7" s="1"/>
  <c r="C109" i="7"/>
  <c r="B109" i="7" s="1"/>
  <c r="A109" i="7" s="1"/>
  <c r="C184" i="7"/>
  <c r="B184" i="7" s="1"/>
  <c r="A184" i="7" s="1"/>
  <c r="C238" i="7"/>
  <c r="B238" i="7" s="1"/>
  <c r="A238" i="7" s="1"/>
  <c r="C151" i="7"/>
  <c r="B151" i="7" s="1"/>
  <c r="A151" i="7" s="1"/>
  <c r="C51" i="7"/>
  <c r="B51" i="7" s="1"/>
  <c r="A51" i="7" s="1"/>
  <c r="C59" i="7"/>
  <c r="B59" i="7" s="1"/>
  <c r="A59" i="7" s="1"/>
  <c r="C22" i="7"/>
  <c r="B22" i="7" s="1"/>
  <c r="A22" i="7" s="1"/>
  <c r="C37" i="7"/>
  <c r="B37" i="7" s="1"/>
  <c r="A37" i="7" s="1"/>
  <c r="C60" i="7"/>
  <c r="B60" i="7" s="1"/>
  <c r="A60" i="7" s="1"/>
  <c r="C98" i="7"/>
  <c r="B98" i="7" s="1"/>
  <c r="A98" i="7" s="1"/>
  <c r="C107" i="7"/>
  <c r="B107" i="7" s="1"/>
  <c r="A107" i="7" s="1"/>
  <c r="C218" i="7"/>
  <c r="B218" i="7" s="1"/>
  <c r="A218" i="7" s="1"/>
  <c r="C45" i="7"/>
  <c r="B45" i="7" s="1"/>
  <c r="A45" i="7" s="1"/>
  <c r="C50" i="7"/>
  <c r="B50" i="7" s="1"/>
  <c r="A50" i="7" s="1"/>
  <c r="C52" i="7"/>
  <c r="B52" i="7" s="1"/>
  <c r="A52" i="7" s="1"/>
  <c r="C91" i="7"/>
  <c r="B91" i="7" s="1"/>
  <c r="A91" i="7" s="1"/>
  <c r="C113" i="7"/>
  <c r="B113" i="7" s="1"/>
  <c r="A113" i="7" s="1"/>
  <c r="C146" i="7"/>
  <c r="B146" i="7" s="1"/>
  <c r="A146" i="7" s="1"/>
  <c r="C83" i="7"/>
  <c r="B83" i="7" s="1"/>
  <c r="A83" i="7" s="1"/>
  <c r="C108" i="7"/>
  <c r="B108" i="7" s="1"/>
  <c r="A108" i="7" s="1"/>
  <c r="C116" i="7"/>
  <c r="B116" i="7" s="1"/>
  <c r="A116" i="7" s="1"/>
  <c r="C157" i="7"/>
  <c r="B157" i="7" s="1"/>
  <c r="A157" i="7" s="1"/>
  <c r="C165" i="7"/>
  <c r="B165" i="7" s="1"/>
  <c r="A165" i="7" s="1"/>
  <c r="C198" i="7"/>
  <c r="B198" i="7" s="1"/>
  <c r="A198" i="7" s="1"/>
  <c r="C24" i="7"/>
  <c r="B24" i="7" s="1"/>
  <c r="A24" i="7" s="1"/>
  <c r="C31" i="7"/>
  <c r="B31" i="7" s="1"/>
  <c r="A31" i="7" s="1"/>
  <c r="C124" i="7"/>
  <c r="B124" i="7" s="1"/>
  <c r="A124" i="7" s="1"/>
  <c r="C32" i="7"/>
  <c r="B32" i="7" s="1"/>
  <c r="A32" i="7" s="1"/>
  <c r="C40" i="7"/>
  <c r="B40" i="7" s="1"/>
  <c r="A40" i="7" s="1"/>
  <c r="C93" i="7"/>
  <c r="B93" i="7" s="1"/>
  <c r="A93" i="7" s="1"/>
  <c r="C125" i="7"/>
  <c r="B125" i="7" s="1"/>
  <c r="A125" i="7" s="1"/>
  <c r="C139" i="7"/>
  <c r="B139" i="7" s="1"/>
  <c r="A139" i="7" s="1"/>
  <c r="C156" i="7"/>
  <c r="B156" i="7" s="1"/>
  <c r="A156" i="7" s="1"/>
  <c r="C221" i="7"/>
  <c r="B221" i="7" s="1"/>
  <c r="A221" i="7" s="1"/>
  <c r="C33" i="7"/>
  <c r="B33" i="7" s="1"/>
  <c r="A33" i="7" s="1"/>
  <c r="C81" i="7"/>
  <c r="B81" i="7" s="1"/>
  <c r="A81" i="7" s="1"/>
  <c r="C132" i="7"/>
  <c r="B132" i="7" s="1"/>
  <c r="A132" i="7" s="1"/>
  <c r="C173" i="7"/>
  <c r="B173" i="7" s="1"/>
  <c r="A173" i="7" s="1"/>
  <c r="C227" i="7"/>
  <c r="B227" i="7" s="1"/>
  <c r="A227" i="7" s="1"/>
  <c r="C48" i="7"/>
  <c r="B48" i="7" s="1"/>
  <c r="A48" i="7" s="1"/>
  <c r="C63" i="7"/>
  <c r="B63" i="7" s="1"/>
  <c r="A63" i="7" s="1"/>
  <c r="C88" i="7"/>
  <c r="B88" i="7" s="1"/>
  <c r="A88" i="7" s="1"/>
  <c r="C119" i="7"/>
  <c r="B119" i="7" s="1"/>
  <c r="A119" i="7" s="1"/>
  <c r="C186" i="7"/>
  <c r="B186" i="7" s="1"/>
  <c r="A186" i="7" s="1"/>
  <c r="C204" i="7"/>
  <c r="B204" i="7" s="1"/>
  <c r="A204" i="7" s="1"/>
  <c r="C10" i="7"/>
  <c r="B10" i="7" s="1"/>
  <c r="A10" i="7" s="1"/>
  <c r="C73" i="7"/>
  <c r="B73" i="7" s="1"/>
  <c r="A73" i="7" s="1"/>
  <c r="C78" i="7"/>
  <c r="B78" i="7" s="1"/>
  <c r="A78" i="7" s="1"/>
  <c r="C104" i="7"/>
  <c r="B104" i="7" s="1"/>
  <c r="A104" i="7" s="1"/>
  <c r="C144" i="7"/>
  <c r="B144" i="7" s="1"/>
  <c r="A144" i="7" s="1"/>
  <c r="C162" i="7"/>
  <c r="B162" i="7" s="1"/>
  <c r="A162" i="7" s="1"/>
  <c r="C192" i="7"/>
  <c r="B192" i="7" s="1"/>
  <c r="A192" i="7" s="1"/>
  <c r="C217" i="7"/>
  <c r="B217" i="7" s="1"/>
  <c r="A217" i="7" s="1"/>
  <c r="C229" i="7"/>
  <c r="B229" i="7" s="1"/>
  <c r="A229" i="7" s="1"/>
  <c r="C235" i="7"/>
  <c r="B235" i="7" s="1"/>
  <c r="A235" i="7" s="1"/>
  <c r="C15" i="7"/>
  <c r="B15" i="7" s="1"/>
  <c r="A15" i="7" s="1"/>
  <c r="C21" i="7"/>
  <c r="B21" i="7" s="1"/>
  <c r="A21" i="7" s="1"/>
  <c r="C145" i="7"/>
  <c r="B145" i="7" s="1"/>
  <c r="A145" i="7" s="1"/>
  <c r="C152" i="7"/>
  <c r="B152" i="7" s="1"/>
  <c r="A152" i="7" s="1"/>
  <c r="C200" i="7"/>
  <c r="B200" i="7" s="1"/>
  <c r="A200" i="7" s="1"/>
  <c r="C224" i="7"/>
  <c r="B224" i="7" s="1"/>
  <c r="A224" i="7" s="1"/>
  <c r="C110" i="7"/>
  <c r="B110" i="7" s="1"/>
  <c r="A110" i="7" s="1"/>
  <c r="C130" i="7"/>
  <c r="B130" i="7" s="1"/>
  <c r="A130" i="7" s="1"/>
  <c r="C194" i="7"/>
  <c r="B194" i="7" s="1"/>
  <c r="A194" i="7" s="1"/>
  <c r="C27" i="7"/>
  <c r="B27" i="7" s="1"/>
  <c r="A27" i="7" s="1"/>
  <c r="C56" i="7"/>
  <c r="B56" i="7" s="1"/>
  <c r="A56" i="7" s="1"/>
  <c r="C111" i="7"/>
  <c r="B111" i="7" s="1"/>
  <c r="A111" i="7" s="1"/>
  <c r="C141" i="7"/>
  <c r="B141" i="7" s="1"/>
  <c r="A141" i="7" s="1"/>
  <c r="C176" i="7"/>
  <c r="B176" i="7" s="1"/>
  <c r="A176" i="7" s="1"/>
  <c r="C183" i="7"/>
  <c r="B183" i="7" s="1"/>
  <c r="A183" i="7" s="1"/>
  <c r="C212" i="7"/>
  <c r="B212" i="7" s="1"/>
  <c r="A212" i="7" s="1"/>
  <c r="C225" i="7"/>
  <c r="B225" i="7" s="1"/>
  <c r="A225" i="7" s="1"/>
  <c r="C232" i="7"/>
  <c r="B232" i="7" s="1"/>
  <c r="A232" i="7" s="1"/>
  <c r="C169" i="7"/>
  <c r="B169" i="7" s="1"/>
  <c r="A169" i="7" s="1"/>
  <c r="C41" i="7"/>
  <c r="B41" i="7" s="1"/>
  <c r="A41" i="7" s="1"/>
  <c r="C115" i="7"/>
  <c r="B115" i="7" s="1"/>
  <c r="A115" i="7" s="1"/>
  <c r="C75" i="7"/>
  <c r="B75" i="7" s="1"/>
  <c r="A75" i="7" s="1"/>
  <c r="C100" i="7"/>
  <c r="B100" i="7" s="1"/>
  <c r="A100" i="7" s="1"/>
  <c r="C95" i="7"/>
  <c r="B95" i="7" s="1"/>
  <c r="A95" i="7" s="1"/>
  <c r="C8" i="7"/>
  <c r="B8" i="7" s="1"/>
  <c r="A8" i="7" s="1"/>
  <c r="C17" i="7"/>
  <c r="B17" i="7" s="1"/>
  <c r="A17" i="7" s="1"/>
  <c r="C80" i="7"/>
  <c r="B80" i="7" s="1"/>
  <c r="A80" i="7" s="1"/>
  <c r="C136" i="7"/>
  <c r="B136" i="7" s="1"/>
  <c r="A136" i="7" s="1"/>
  <c r="C154" i="7"/>
  <c r="B154" i="7" s="1"/>
  <c r="A154" i="7" s="1"/>
  <c r="C206" i="7"/>
  <c r="B206" i="7" s="1"/>
  <c r="A206" i="7" s="1"/>
  <c r="C219" i="7"/>
  <c r="B219" i="7" s="1"/>
  <c r="A219" i="7" s="1"/>
  <c r="C43" i="7"/>
  <c r="B43" i="7" s="1"/>
  <c r="A43" i="7" s="1"/>
  <c r="C160" i="7"/>
  <c r="B160" i="7" s="1"/>
  <c r="A160" i="7" s="1"/>
  <c r="C11" i="7"/>
  <c r="B11" i="7" s="1"/>
  <c r="A11" i="7" s="1"/>
  <c r="C208" i="7"/>
  <c r="B208" i="7" s="1"/>
  <c r="A208" i="7" s="1"/>
  <c r="C174" i="7"/>
  <c r="B174" i="7" s="1"/>
  <c r="A174" i="7" s="1"/>
  <c r="C187" i="7"/>
  <c r="B187" i="7" s="1"/>
  <c r="A187" i="7" s="1"/>
  <c r="C158" i="7"/>
  <c r="B158" i="7" s="1"/>
  <c r="A158" i="7" s="1"/>
  <c r="C171" i="7"/>
  <c r="B171" i="7" s="1"/>
  <c r="A171" i="7" s="1"/>
  <c r="AA3" i="6" l="1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189" i="4"/>
  <c r="B71" i="2"/>
  <c r="K77" i="2"/>
  <c r="H80" i="2"/>
  <c r="E80" i="2"/>
  <c r="E67" i="2"/>
  <c r="K58" i="2"/>
  <c r="K68" i="2"/>
  <c r="H71" i="2"/>
  <c r="H60" i="2"/>
  <c r="E62" i="2"/>
  <c r="B62" i="2"/>
  <c r="K47" i="2"/>
  <c r="E52" i="2"/>
  <c r="H52" i="2"/>
  <c r="K41" i="2"/>
  <c r="B52" i="2"/>
  <c r="E41" i="2"/>
  <c r="H41" i="2"/>
  <c r="K30" i="2"/>
  <c r="B41" i="2"/>
  <c r="B26" i="2"/>
  <c r="E30" i="2"/>
  <c r="H30" i="2"/>
  <c r="H20" i="2"/>
  <c r="K20" i="2"/>
  <c r="B20" i="2"/>
  <c r="E20" i="2"/>
  <c r="H10" i="2"/>
  <c r="K10" i="2"/>
  <c r="E8" i="2"/>
  <c r="B8" i="2"/>
  <c r="C3" i="6" l="1"/>
  <c r="B3" i="6" s="1"/>
  <c r="A3" i="6" s="1"/>
</calcChain>
</file>

<file path=xl/sharedStrings.xml><?xml version="1.0" encoding="utf-8"?>
<sst xmlns="http://schemas.openxmlformats.org/spreadsheetml/2006/main" count="1258" uniqueCount="472">
  <si>
    <t>ORGANIC FERTILIZER</t>
  </si>
  <si>
    <t>VERMI COMPOST - 01 KG (VEC-01)</t>
  </si>
  <si>
    <t>VERMI COMPOST - 10 KG (VEC-10)</t>
  </si>
  <si>
    <t>VERMI COMPOST - 30 KG (VEC-30)</t>
  </si>
  <si>
    <t>BONE MEAL(B) - 01 KG (BML-01)</t>
  </si>
  <si>
    <t>BONE MEAL(B) - 05 KG (BML-01)</t>
  </si>
  <si>
    <t>BONE MEAL (B) - 30 KG (BML-30)</t>
  </si>
  <si>
    <t>COW DUNG POWER (DRIED)- 01 KG (CDP-01)</t>
  </si>
  <si>
    <t>COW DUNG POWER (DRIED)- 03 KG (CDP-03)</t>
  </si>
  <si>
    <t>COW DUNG POWER (DRIED) - 10 KG (CDP-10)</t>
  </si>
  <si>
    <t>COW DUNG POWER (DRIED) - 30 KG (CDP-30)</t>
  </si>
  <si>
    <t>NEEM CAKE (B) - 01 KG (NEC-01)</t>
  </si>
  <si>
    <t>NEEM CAKE (B) - 30 KG (NEC-30)</t>
  </si>
  <si>
    <t>NEEM CAKE 3 KG</t>
  </si>
  <si>
    <t>CPOM COMPOST - 1 KG (CPC-01)</t>
  </si>
  <si>
    <t>CPOM COMPOST - 10 KG (CPC-10)</t>
  </si>
  <si>
    <t>COIR PITH (Raw) - 10 KG (COP-10)</t>
  </si>
  <si>
    <t>COCOPEAT BLOCK - 4.5KG (CPB-04)</t>
  </si>
  <si>
    <t>GOAT MANURE - 01 KG (GMR-01)</t>
  </si>
  <si>
    <t>GOAT MANURE - 03 KG (GMR-03)</t>
  </si>
  <si>
    <t>GOAT MANURE - 30 KG (GMR-30)</t>
  </si>
  <si>
    <t>FISH MANURE - 01 Kg (FIM-01)</t>
  </si>
  <si>
    <t>FISH MANURE - 10 Kg (FIM-10)</t>
  </si>
  <si>
    <t>CLAM SHELL POWDER  01 KG( CLP-1)</t>
  </si>
  <si>
    <t>CLAM SHELL POWDER  05 KG( CLP-1)</t>
  </si>
  <si>
    <t>CLAM SHELL POWDER  30 KG( CLP-30)</t>
  </si>
  <si>
    <t>PGPR MIX 1 (PGP-200GM)</t>
  </si>
  <si>
    <t>PGPR MIX 2 (PGP-200GM)</t>
  </si>
  <si>
    <t>VAM (VAM-200GM)</t>
  </si>
  <si>
    <t>TRICHODERMA (TCM-200GM)</t>
  </si>
  <si>
    <t>PSEUDOMONAS (PSD-200GM)</t>
  </si>
  <si>
    <t>PARIPOORNA (PRA-200GM)</t>
  </si>
  <si>
    <t>BEAUVERIA BASSIANA(BWR-200GM)</t>
  </si>
  <si>
    <t>GROUNDNUT CAKE - 1 KG (GRC-01)</t>
  </si>
  <si>
    <t>GROUNDNUT CAKE - 30 KG (GRC-30)</t>
  </si>
  <si>
    <t>DOLOMITE  - 01 KG</t>
  </si>
  <si>
    <t>DOLOMITE  - 05 KG</t>
  </si>
  <si>
    <t>DOLOMITE - 50 KG</t>
  </si>
  <si>
    <t>AGROCOPS KALPAVARDHINI 250 GM</t>
  </si>
  <si>
    <t>TRAPES</t>
  </si>
  <si>
    <t>AGROCOPS BOAR GUARD</t>
  </si>
  <si>
    <t>PESTICIDES</t>
  </si>
  <si>
    <t>FISH AMINO ACID ( 50 ML)</t>
  </si>
  <si>
    <t>FISH AMINO ACID ( 100 ML)</t>
  </si>
  <si>
    <t>GROW BAGS &amp; NURSERY BAGS</t>
  </si>
  <si>
    <t>OWN BRANDED GROWBAG 30X16X16(AGB-</t>
  </si>
  <si>
    <t>OWN BRANDED GROWBAG 35X20X20(AGB-</t>
  </si>
  <si>
    <t>OWN BRANDED GROWBAG 40X24X24(AGB-</t>
  </si>
  <si>
    <t>NURSERY BAG 4X6</t>
  </si>
  <si>
    <t>NURSERY BAG 5X7</t>
  </si>
  <si>
    <t>NURSERY BAG 6X8</t>
  </si>
  <si>
    <t>NURSERY BAG 8X8</t>
  </si>
  <si>
    <t>NURSERY BAG 10X10</t>
  </si>
  <si>
    <t>H D P E GROW</t>
  </si>
  <si>
    <t>H D P E GROW BAGS 12X12</t>
  </si>
  <si>
    <t>H D P E GROW BAGS 15X15</t>
  </si>
  <si>
    <t>H D P E GROW BAGS 18X18</t>
  </si>
  <si>
    <t>SPRAYERS AND BOTTLES</t>
  </si>
  <si>
    <t>PRESSURE SPRAYER - 1LITRE</t>
  </si>
  <si>
    <t>BOTTLE SPRAYER PET</t>
  </si>
  <si>
    <t>SPRAY GUN</t>
  </si>
  <si>
    <t>CHOBA HEAVY SPRAY GUN</t>
  </si>
  <si>
    <t>PRESSURE SPRAYER 3 LITRES</t>
  </si>
  <si>
    <t>WATERING CAN 5L ROUND</t>
  </si>
  <si>
    <t>WATERING CAN 10 LITRES</t>
  </si>
  <si>
    <t>WATERING CAN 5 LITRES</t>
  </si>
  <si>
    <t>PRESSURE SPRAYER 2000ML (LOTUS)</t>
  </si>
  <si>
    <t>PRESSURE SPRAYER 5 LITRES</t>
  </si>
  <si>
    <t>PRESSURE SPRAYER 08 LITRES</t>
  </si>
  <si>
    <t>TWO IN ONE GARDEN WATERING</t>
  </si>
  <si>
    <t>07 IN 01 SHOWER</t>
  </si>
  <si>
    <t>HAND SHOWER</t>
  </si>
  <si>
    <t>TOOLS &amp; IMPLEMENTS</t>
  </si>
  <si>
    <t>GARDEN PICAXE</t>
  </si>
  <si>
    <t>GARDEN HOE 3 PRONG</t>
  </si>
  <si>
    <t>ROLL CUT CHROME PLATED</t>
  </si>
  <si>
    <t>CHINESE CUTTER</t>
  </si>
  <si>
    <t>KHURPI-YELLOW</t>
  </si>
  <si>
    <t>GARDEN RAKE</t>
  </si>
  <si>
    <t>HEDGE SHEAR SPECIAL TYPE</t>
  </si>
  <si>
    <t>SMALL TROWEL</t>
  </si>
  <si>
    <t>HAND WEEDER PVC</t>
  </si>
  <si>
    <t>CULTIVATOR 3 PRONG</t>
  </si>
  <si>
    <t>BIG TROWEL</t>
  </si>
  <si>
    <t>GARDEN HOE</t>
  </si>
  <si>
    <t>FORK PVC</t>
  </si>
  <si>
    <t>GARDEN KHURPA</t>
  </si>
  <si>
    <t>FALCON TYPE PRUNING SECATEUR</t>
  </si>
  <si>
    <t>GERMAN TYPE PRUNING</t>
  </si>
  <si>
    <t>DOUBLE CUT PRUNING SECATEUR</t>
  </si>
  <si>
    <t>WOODEN FORK</t>
  </si>
  <si>
    <t>HEDGE SHEAR REGULAR TYPE BLACK</t>
  </si>
  <si>
    <t>HEDGE SHEAR SPECIAL TYPE WOODEN HANDLE</t>
  </si>
  <si>
    <t>GARDEN HOE YELLOW</t>
  </si>
  <si>
    <t>KHURPA SET 3 PCS</t>
  </si>
  <si>
    <t>WOODEN CULTIVATOR 5 PRON</t>
  </si>
  <si>
    <t>BIG FORK PIPE HANDLE</t>
  </si>
  <si>
    <t>GARDEN HOE WITH PRONG</t>
  </si>
  <si>
    <t>SICKLE PVC HANDLE</t>
  </si>
  <si>
    <t>GARDEN GLOWS</t>
  </si>
  <si>
    <t>GARDEN AXE</t>
  </si>
  <si>
    <t>GARDEN SWORD BENT TYPE</t>
  </si>
  <si>
    <t>GARDEN RAKE PIPE HANDLE 14</t>
  </si>
  <si>
    <t>PRUNING SAW10''</t>
  </si>
  <si>
    <t>PVC SPADE WITH HANDLE</t>
  </si>
  <si>
    <t>POTS &amp; CONTAINERS</t>
  </si>
  <si>
    <t>MINI POT BLACK</t>
  </si>
  <si>
    <t>MINI POT COLOUR</t>
  </si>
  <si>
    <t>MINI POT WHITE</t>
  </si>
  <si>
    <t>5'' MAY POT</t>
  </si>
  <si>
    <t>5'' MAY POT COLOUR</t>
  </si>
  <si>
    <t>6'' PREMIUM POT</t>
  </si>
  <si>
    <t>PEPPER POT</t>
  </si>
  <si>
    <t>STAR 7 BL</t>
  </si>
  <si>
    <t>STAR 7 CL</t>
  </si>
  <si>
    <t>WILLA POT BLACK</t>
  </si>
  <si>
    <t>STAR 10 BL</t>
  </si>
  <si>
    <t>STAR 10 CL</t>
  </si>
  <si>
    <t>13'' RING POT WHITE</t>
  </si>
  <si>
    <t>14" TC PLASTIC CONTAINER</t>
  </si>
  <si>
    <t>18" BL PLASTIC CONTAINER</t>
  </si>
  <si>
    <t>18" CL PLASTIC CONTAINER</t>
  </si>
  <si>
    <t>20" BL PLASTIC CONTAINER</t>
  </si>
  <si>
    <t>LOTUS POT BLACK</t>
  </si>
  <si>
    <t>LOTUS POT COLOUR</t>
  </si>
  <si>
    <t>CERA HANGING POT</t>
  </si>
  <si>
    <t>PLASTIC CONTAINER HANGING C</t>
  </si>
  <si>
    <t>PLASTIC CLIP COIR TYPE BIG</t>
  </si>
  <si>
    <t>PLASTIC CLIP COIR TYPE</t>
  </si>
  <si>
    <t>PLASTIC CLIP</t>
  </si>
  <si>
    <t>PLASTIC ORCHID BOWL &amp; STRING BL</t>
  </si>
  <si>
    <t>PLASTIC ORCHID BOWL &amp; STRING CL</t>
  </si>
  <si>
    <t>PLASTIC ORCHID BOWL &amp; STRING WHITE</t>
  </si>
  <si>
    <t>PLASTIC CONTAINER 4'' ORCHID</t>
  </si>
  <si>
    <t>PLASTIC CONTAINER 6'' ORCHID</t>
  </si>
  <si>
    <t>PLASTIC CONTAINER P 260mm B</t>
  </si>
  <si>
    <t>PLASTIC CONTAINER P 260mm CL</t>
  </si>
  <si>
    <t>PLASTIC CONTAINER VERTICAL B</t>
  </si>
  <si>
    <t>PLASTIC CONTAINER VERTICAL BIG B</t>
  </si>
  <si>
    <t>3" PLASTIC CONTAINER SONY</t>
  </si>
  <si>
    <t>DAISY 5 WITH INNER</t>
  </si>
  <si>
    <t>NOVA 6 WITH INNER</t>
  </si>
  <si>
    <t>NOVA 8 WITH INNER</t>
  </si>
  <si>
    <t>PLASTIC CONTAINER NOVA 10</t>
  </si>
  <si>
    <t>NOVA 12 WITH INNER</t>
  </si>
  <si>
    <t>CERA 5 WITH INNER</t>
  </si>
  <si>
    <t>CERA 7 WITH INNER</t>
  </si>
  <si>
    <t>CERA 10 WITH INNER</t>
  </si>
  <si>
    <t>LEXI POT</t>
  </si>
  <si>
    <t>WATER SPINKLER 3</t>
  </si>
  <si>
    <t>8 SQUARE POT</t>
  </si>
  <si>
    <t>NANO HANGING POT WITH CLIP</t>
  </si>
  <si>
    <t>CROMA BONSAI BL</t>
  </si>
  <si>
    <t>PLASTIC CONTAINER ORCHID CONE</t>
  </si>
  <si>
    <t>ORCHID CONE BIG</t>
  </si>
  <si>
    <t>ROYAL PLANTER 3</t>
  </si>
  <si>
    <t>HOOK POT</t>
  </si>
  <si>
    <t>CROMA BONSAI CL</t>
  </si>
  <si>
    <t>CROMA BONSAI W</t>
  </si>
  <si>
    <t>ROYAL PLANTER 1</t>
  </si>
  <si>
    <t>BHUDHA POT  ( SMALL)</t>
  </si>
  <si>
    <t>BHUDHA POT  ( BIG  )</t>
  </si>
  <si>
    <t>APPLE SMALL 6</t>
  </si>
  <si>
    <t>PINE LEXI</t>
  </si>
  <si>
    <t>ARABIC KOOJA POT</t>
  </si>
  <si>
    <t>WAVE BOWL SMALL WITH INNER</t>
  </si>
  <si>
    <t>STAR 8 BLACK</t>
  </si>
  <si>
    <t>STAR 8 COLOUR</t>
  </si>
  <si>
    <t>STAR 8 WHITE</t>
  </si>
  <si>
    <t>STAR 10 WHITE</t>
  </si>
  <si>
    <t>ROYAL PLANTER 1 BLACK</t>
  </si>
  <si>
    <t>14" BL  PLASTIC CONTAINER</t>
  </si>
  <si>
    <t>PLASTIC CONTAINER P 280mm B</t>
  </si>
  <si>
    <t>PLASTIC CONTAINER P 280mm CL</t>
  </si>
  <si>
    <t>BHUDHA POT  ( MEDIUM  )</t>
  </si>
  <si>
    <t>20" CL PLASTIC CONTAINER</t>
  </si>
  <si>
    <t>PLASTIC CONTAINER P 220mm B</t>
  </si>
  <si>
    <t>PLASTIC CONTAINER P 220mm CL</t>
  </si>
  <si>
    <t>SEED TRAY SMALL</t>
  </si>
  <si>
    <t>SEED TRAY BIG</t>
  </si>
  <si>
    <t>SEEDS</t>
  </si>
  <si>
    <t>VAZHUTHINNA</t>
  </si>
  <si>
    <t>VAZHUTHINA VILOT UNDA</t>
  </si>
  <si>
    <t>VAZHUTHINA VILOT NEELAN</t>
  </si>
  <si>
    <t>NITHYA VAZHUTHINA</t>
  </si>
  <si>
    <t>THAKKALI</t>
  </si>
  <si>
    <t>MULAK</t>
  </si>
  <si>
    <t>MULAK UNDA</t>
  </si>
  <si>
    <t>CHURAKKA</t>
  </si>
  <si>
    <t>PEECHAKKA</t>
  </si>
  <si>
    <t>VENDA</t>
  </si>
  <si>
    <t>KUTTIPAYAR</t>
  </si>
  <si>
    <t>METERPAYAR</t>
  </si>
  <si>
    <t>CHATHURA PAYAR</t>
  </si>
  <si>
    <t>KUTTI BEANS</t>
  </si>
  <si>
    <t>VALLY BEANS</t>
  </si>
  <si>
    <t>PENCIL BEANS</t>
  </si>
  <si>
    <t>PADAVALAM</t>
  </si>
  <si>
    <t>PAAVAL</t>
  </si>
  <si>
    <t>MATHAN</t>
  </si>
  <si>
    <t>KUMBALAM</t>
  </si>
  <si>
    <t>AMARA</t>
  </si>
  <si>
    <t>KOTHAMARA</t>
  </si>
  <si>
    <t>MALLI</t>
  </si>
  <si>
    <t>VELLARI</t>
  </si>
  <si>
    <t>CHEERA GREEN</t>
  </si>
  <si>
    <t>CHEERA RED</t>
  </si>
  <si>
    <t>CHEERA SUNDARI</t>
  </si>
  <si>
    <t>CHEERA MILKY</t>
  </si>
  <si>
    <t>CHEERA ROYAL RED</t>
  </si>
  <si>
    <t>PALAK CHEERA</t>
  </si>
  <si>
    <t>AGATHI CHEERA</t>
  </si>
  <si>
    <t>PAPPAYA</t>
  </si>
  <si>
    <t>SUNFLOWER</t>
  </si>
  <si>
    <t>CATEGORY</t>
  </si>
  <si>
    <t>PRODUCT NAME</t>
  </si>
  <si>
    <t>VEG &amp; GARDEN MIX - 1 KG (VGM-1)</t>
  </si>
  <si>
    <t xml:space="preserve">  Product Price</t>
  </si>
  <si>
    <t>VEG &amp; GARDEN MIX - 10 KG (VGM-10)</t>
  </si>
  <si>
    <t>COCONUT MIX  25 KG (CCM-25)</t>
  </si>
  <si>
    <t>COCONUT MIX - 05 KG (CCM-5)</t>
  </si>
  <si>
    <t>C pom compost - 500gm</t>
  </si>
  <si>
    <t>C pom compost - 5kg</t>
  </si>
  <si>
    <t>Cowdung-7kg</t>
  </si>
  <si>
    <t>Cowdung-1.4kg</t>
  </si>
  <si>
    <t>Neem cake - 125gm</t>
  </si>
  <si>
    <t>Neem cake - 1.25kg</t>
  </si>
  <si>
    <t>Bone meal - 3 kg</t>
  </si>
  <si>
    <t>Bone meal - 0.6 kg</t>
  </si>
  <si>
    <t>Bonemeal - 125gm</t>
  </si>
  <si>
    <t>Bonemeal - 1.25kg</t>
  </si>
  <si>
    <t>Neem cake- 4kg</t>
  </si>
  <si>
    <t>Neem cake- 0.8kg</t>
  </si>
  <si>
    <t>Vermicompost - 125gm</t>
  </si>
  <si>
    <t>Vermicompost - 1.25kg</t>
  </si>
  <si>
    <t>Goat Manure - 1kg</t>
  </si>
  <si>
    <t>Goat Manure - 0.2kg</t>
  </si>
  <si>
    <t>Cow dung - 125gm</t>
  </si>
  <si>
    <t>Cow dung - 1.25kg</t>
  </si>
  <si>
    <t>Vermi Compost - 5kg</t>
  </si>
  <si>
    <t>Vermi Compost - 1kg</t>
  </si>
  <si>
    <t>Fish Manure - 1kg</t>
  </si>
  <si>
    <t>Fish Manure - 0.2kg</t>
  </si>
  <si>
    <t>Ash - 2kg</t>
  </si>
  <si>
    <t>Ash - 0.4kg</t>
  </si>
  <si>
    <t>RUBBER MIX - 25 KG (RRM-25)</t>
  </si>
  <si>
    <t>RUBBER MIX - 05 KG (RRM-5)</t>
  </si>
  <si>
    <t>ARECANUT  MIX - 25 KG (ANM-25)</t>
  </si>
  <si>
    <t>ARECANUT  MIX - 05 KG (ANM-05)</t>
  </si>
  <si>
    <t>Cowdung-8kg</t>
  </si>
  <si>
    <t>Cowdung-1.6kg</t>
  </si>
  <si>
    <t>Cowdung-6kg</t>
  </si>
  <si>
    <t>Cowdung-1.2kg</t>
  </si>
  <si>
    <t>Bone meal - 5 kg</t>
  </si>
  <si>
    <t>Bone meal - 1 kg</t>
  </si>
  <si>
    <t>Bone meal - 4 kg</t>
  </si>
  <si>
    <t>Bone meal - 0.8 kg</t>
  </si>
  <si>
    <t>Goat Manure - 1.5kg</t>
  </si>
  <si>
    <t>Goat Manure - 0.3kg</t>
  </si>
  <si>
    <t>Vermi Compost - 7kg</t>
  </si>
  <si>
    <t>Vermi Compost - 1.4kg</t>
  </si>
  <si>
    <t>Vermi Compost - 6kg</t>
  </si>
  <si>
    <t>Vermi Compost - 1.2kg</t>
  </si>
  <si>
    <t>Fish Manure - 2kg</t>
  </si>
  <si>
    <t>Fish Manure - 0.4kg</t>
  </si>
  <si>
    <t>Ash - 3kg</t>
  </si>
  <si>
    <t>KERA REKSHA 250 GM (KRA-250)</t>
  </si>
  <si>
    <t>TAPIOCA MIX - 25 KG (TCM-25)</t>
  </si>
  <si>
    <t>TAPIOCA MIX - 5 KG (TCM-5)</t>
  </si>
  <si>
    <t>NUTMEG MIX - 25 KG (NTG-25)</t>
  </si>
  <si>
    <t>Neem Cake Powder- 150GM</t>
  </si>
  <si>
    <t>Cowdung-5kg</t>
  </si>
  <si>
    <t>Cowdung-1kg</t>
  </si>
  <si>
    <t>Bone Meal - 50 GM</t>
  </si>
  <si>
    <t>Bone meal - 1kg</t>
  </si>
  <si>
    <t>Caster Cake Powder - 50 GM</t>
  </si>
  <si>
    <t>Neem cake- 5kg</t>
  </si>
  <si>
    <t>Ash - 0.6kg</t>
  </si>
  <si>
    <t>NUTMEG MIX - 5 KG (NTG-5)</t>
  </si>
  <si>
    <t>TURMERIC MIX - 25 KG (TCM -25)</t>
  </si>
  <si>
    <t>TURMERIC MIX - 5 KG (TCM - 5)</t>
  </si>
  <si>
    <t>GINGER MIX - 25 KG (GRM - 25)</t>
  </si>
  <si>
    <t>Bone meal - 0.8kg</t>
  </si>
  <si>
    <t>Neem cake- 1kg</t>
  </si>
  <si>
    <t>Neem cake- 6kg</t>
  </si>
  <si>
    <t>Ash - 5kg</t>
  </si>
  <si>
    <t>Ash - 1kg</t>
  </si>
  <si>
    <t>GINGER MIX - 5 KG (GRM - 5)</t>
  </si>
  <si>
    <t>CASHEWNUT MIX - 25 KG (CNM -</t>
  </si>
  <si>
    <t>CASHEWNUT MIX - 5 KG (CNM -5)</t>
  </si>
  <si>
    <t>SUPER MEAL 2 KG (SRM- 2)</t>
  </si>
  <si>
    <t>Cowdung- 1kg</t>
  </si>
  <si>
    <t>Vermi Compost - 1 kg</t>
  </si>
  <si>
    <t>Neem cake- 1.2kg</t>
  </si>
  <si>
    <t>Goat Manure - 2kg</t>
  </si>
  <si>
    <t>Goat Manure - 0.4kg</t>
  </si>
  <si>
    <t>BANANA MITRA - 1.5 KG (BNM-01)</t>
  </si>
  <si>
    <t>BANANA MITRA - 18 KG (BNM-18)</t>
  </si>
  <si>
    <t>AGROCOPS POWER MEAL 1 KG</t>
  </si>
  <si>
    <t>PEPPER BOOSTER 3 KG</t>
  </si>
  <si>
    <t>C pom compost -1kg</t>
  </si>
  <si>
    <t>C pom compost - 13.5kg</t>
  </si>
  <si>
    <t>Vermi Compost - 1.7kg</t>
  </si>
  <si>
    <t>Rock powder - 100g</t>
  </si>
  <si>
    <t>Rock powder - 900g</t>
  </si>
  <si>
    <t>Neem cake - 167g</t>
  </si>
  <si>
    <t>C POM Compost - 1.8kg</t>
  </si>
  <si>
    <t>Ash - 100G</t>
  </si>
  <si>
    <t>Ash - 900g</t>
  </si>
  <si>
    <t>Cowdung - 167g</t>
  </si>
  <si>
    <t>Trichoderma - 30GM</t>
  </si>
  <si>
    <t>Soil - 100g</t>
  </si>
  <si>
    <t>Soil - 900g</t>
  </si>
  <si>
    <t>Vermicompost - 167g</t>
  </si>
  <si>
    <t>Bonemeal - 100g</t>
  </si>
  <si>
    <t>Bonemeal - 900g</t>
  </si>
  <si>
    <t>Fish manure - 100g</t>
  </si>
  <si>
    <t>Fish manure - 900g</t>
  </si>
  <si>
    <t>SHIELD WHITE FLY PROTECTOR 100 ML</t>
  </si>
  <si>
    <t>SUPER MEAL 5 KG (SRM-5)</t>
  </si>
  <si>
    <t>VAGOR ORGANIC 100ML</t>
  </si>
  <si>
    <t>AGROCOPS NUTRIX 50ML</t>
  </si>
  <si>
    <t>Neem Oil - 40ml</t>
  </si>
  <si>
    <t>Cowdung- 2.5kg</t>
  </si>
  <si>
    <t>Fish aminoacid - 50ml</t>
  </si>
  <si>
    <t>Castor Oil(Sticker) - 10ml</t>
  </si>
  <si>
    <t>Vermi Compost - 2.5 kg</t>
  </si>
  <si>
    <t>Turmeric powder - 5g</t>
  </si>
  <si>
    <t>Garlic extract - 4ml</t>
  </si>
  <si>
    <t>Garlic extract - 5ml</t>
  </si>
  <si>
    <t>Emulsifier - 10ml</t>
  </si>
  <si>
    <t>Citric acid solution - 0.2ml</t>
  </si>
  <si>
    <t>Distilled water - 36ml</t>
  </si>
  <si>
    <t>Distilled water - 34.8ml</t>
  </si>
  <si>
    <t>Total Price</t>
  </si>
  <si>
    <t>EZGROW-SOIL&amp;COIR-POTTINGMIX 2 KG</t>
  </si>
  <si>
    <t>Soil - 1kg</t>
  </si>
  <si>
    <t>C pom compost - 400g</t>
  </si>
  <si>
    <t>Neemcake - 200g</t>
  </si>
  <si>
    <t>Bone meal - 200g</t>
  </si>
  <si>
    <t>Cowdung - 100g</t>
  </si>
  <si>
    <t>Goat manure - 100g</t>
  </si>
  <si>
    <t>EZGROW-SOIL&amp;COIR-POTTINGMIX 5 KG</t>
  </si>
  <si>
    <t>Soil - 2.5kg</t>
  </si>
  <si>
    <t>C pom compost - 1kg</t>
  </si>
  <si>
    <t>Neemcake - 500g</t>
  </si>
  <si>
    <t>Bone meal - 500g</t>
  </si>
  <si>
    <t>Cowdung - 250g</t>
  </si>
  <si>
    <t>Goat manure - 250g</t>
  </si>
  <si>
    <t>PEPPER BOOSTER - 25KG</t>
  </si>
  <si>
    <t>PEPPER BOOSTER 25KG</t>
  </si>
  <si>
    <t>Vermi Compost - 12.04kg</t>
  </si>
  <si>
    <t>C POM Compost - 12.75kg</t>
  </si>
  <si>
    <t>Trichoderma - 212.46GM</t>
  </si>
  <si>
    <t>BONE MEAL</t>
  </si>
  <si>
    <t>NEEM CAKE</t>
  </si>
  <si>
    <t>MONTHLY COST</t>
  </si>
  <si>
    <t>VERMI COMPOST</t>
  </si>
  <si>
    <t xml:space="preserve">COW DUNG POWER </t>
  </si>
  <si>
    <t>GOAT MANURE</t>
  </si>
  <si>
    <t>VEG &amp; GARDEN MIX</t>
  </si>
  <si>
    <t>COIR PITH (Raw)</t>
  </si>
  <si>
    <t>CPOM COMPOST</t>
  </si>
  <si>
    <t>STICKER COST</t>
  </si>
  <si>
    <t>PRICE TAG</t>
  </si>
  <si>
    <t>PSEUDOMONAS</t>
  </si>
  <si>
    <t xml:space="preserve">AGROCOPS KALPAVARDHINI </t>
  </si>
  <si>
    <t>PGPR MIX 1</t>
  </si>
  <si>
    <t>PGPR MIX 2</t>
  </si>
  <si>
    <t>PARIPOORNA</t>
  </si>
  <si>
    <t>VAM VAM</t>
  </si>
  <si>
    <t>OWN BRANDED GROWBAG</t>
  </si>
  <si>
    <t xml:space="preserve">NURSERY BAG </t>
  </si>
  <si>
    <t>FISH AMINO ACID</t>
  </si>
  <si>
    <t>PRESSURE SPRAYER</t>
  </si>
  <si>
    <t>WATERING CAN ROUND</t>
  </si>
  <si>
    <t>PRESSURE SPRAYER (LOTUS)</t>
  </si>
  <si>
    <t>CHACK 5</t>
  </si>
  <si>
    <t>CHACK 10</t>
  </si>
  <si>
    <t>CHACK 30</t>
  </si>
  <si>
    <t>GROW BAG</t>
  </si>
  <si>
    <t>POT</t>
  </si>
  <si>
    <t>LAB LIQUIDS</t>
  </si>
  <si>
    <t>WAGES</t>
  </si>
  <si>
    <t>ELECTRICITY BILL</t>
  </si>
  <si>
    <t>WIFI BILL</t>
  </si>
  <si>
    <t>HARITHA KARMA SENA</t>
  </si>
  <si>
    <t>GROCERY ITEMS</t>
  </si>
  <si>
    <t>STATIONARY ITEMS</t>
  </si>
  <si>
    <t>OUTSIDE VEHICLE EXPENSE</t>
  </si>
  <si>
    <t>VEHICLE EXPENSE</t>
  </si>
  <si>
    <t>UNION CHARGE</t>
  </si>
  <si>
    <t>FACTORY VEHICLE PETROL</t>
  </si>
  <si>
    <t>TOTAL COST</t>
  </si>
  <si>
    <t>Product Prices (Without GST)</t>
  </si>
  <si>
    <t>GST %</t>
  </si>
  <si>
    <t>GST Amount</t>
  </si>
  <si>
    <t>Product Name</t>
  </si>
  <si>
    <t>Product Cost with GST</t>
  </si>
  <si>
    <t>Transportation Cost</t>
  </si>
  <si>
    <t>Unolading Charges</t>
  </si>
  <si>
    <t>Arrangement</t>
  </si>
  <si>
    <t>Damage</t>
  </si>
  <si>
    <t>Sticker Price</t>
  </si>
  <si>
    <t>Packing Labour</t>
  </si>
  <si>
    <t>Arrangment</t>
  </si>
  <si>
    <t>Loading</t>
  </si>
  <si>
    <t>Transportation</t>
  </si>
  <si>
    <t>Factory Charges</t>
  </si>
  <si>
    <t>Management Charges</t>
  </si>
  <si>
    <t>Oher Charges</t>
  </si>
  <si>
    <t>Mixing Charges</t>
  </si>
  <si>
    <t>DP</t>
  </si>
  <si>
    <t>Sack / Cover / Bottle</t>
  </si>
  <si>
    <t>Total Cost</t>
  </si>
  <si>
    <t>Profit</t>
  </si>
  <si>
    <t>LOADING CHARGE</t>
  </si>
  <si>
    <t>UNLOADING CHARGE</t>
  </si>
  <si>
    <t>DAMAGE</t>
  </si>
  <si>
    <t>ARRANGEMENT</t>
  </si>
  <si>
    <t>SACK / COVER / BOTTLE</t>
  </si>
  <si>
    <t>STICKER PRICE</t>
  </si>
  <si>
    <t>PACKING LABOUR</t>
  </si>
  <si>
    <t>PROFIT</t>
  </si>
  <si>
    <t>PRODUCT TYPE</t>
  </si>
  <si>
    <t>PRODUCT PRICE ( WITHOUT GST )</t>
  </si>
  <si>
    <t>GST AMOUNT</t>
  </si>
  <si>
    <t>PRODUCT PRICE ( WITH GST )</t>
  </si>
  <si>
    <t>TRANSPORTATION COST</t>
  </si>
  <si>
    <t>ARRANGEMENT COST</t>
  </si>
  <si>
    <t>DAMAGE COST</t>
  </si>
  <si>
    <t>UNLOADING</t>
  </si>
  <si>
    <t>TRANSPORTATION</t>
  </si>
  <si>
    <t>FACTORY CHARGES</t>
  </si>
  <si>
    <t>MANAGEMENT CHARGES</t>
  </si>
  <si>
    <t>OTHER CHARGES</t>
  </si>
  <si>
    <t>MIXING CHARGES</t>
  </si>
  <si>
    <t>RETRADED</t>
  </si>
  <si>
    <t>VAZHUTHINNA 15GM</t>
  </si>
  <si>
    <t>VAZHUTHINA VILOT UNDA 15GM</t>
  </si>
  <si>
    <t>VAZHUTHINA VILOT NEELAN 15GM</t>
  </si>
  <si>
    <t>NITHYA VAZHUTHINA  15GM</t>
  </si>
  <si>
    <t>THAKKALI 15GM</t>
  </si>
  <si>
    <t>MULAK 15GM</t>
  </si>
  <si>
    <t>MULAK UNDA 15GM</t>
  </si>
  <si>
    <t>CHURAKKA 15GM</t>
  </si>
  <si>
    <t>PEECHAKKA 15GM</t>
  </si>
  <si>
    <t>VENDA 15GM</t>
  </si>
  <si>
    <t>KUTTIPAYAR 15GM</t>
  </si>
  <si>
    <t>METERPAYAR 15GM</t>
  </si>
  <si>
    <t>CHATHURA PAYAR 15GM</t>
  </si>
  <si>
    <t>KUTTI BEANS 15GM</t>
  </si>
  <si>
    <t>VALLY BEANS 15GM</t>
  </si>
  <si>
    <t>PENCIL BEANS 15GM</t>
  </si>
  <si>
    <t>PADAVALAM 15GM</t>
  </si>
  <si>
    <t>PAAVAL 15GM</t>
  </si>
  <si>
    <t>MATHAN 15GM</t>
  </si>
  <si>
    <t>KUMBALAM 15GM</t>
  </si>
  <si>
    <t>AMARA 15GM</t>
  </si>
  <si>
    <t>KOTHAMARA 15GM</t>
  </si>
  <si>
    <t>MALLI 15GM</t>
  </si>
  <si>
    <t>VELLARI 15GM</t>
  </si>
  <si>
    <t>CHEERA GREEN 15GM</t>
  </si>
  <si>
    <t>CHEERA RED 15GM</t>
  </si>
  <si>
    <t>CHEERA SUNDARI 15GM</t>
  </si>
  <si>
    <t>CHEERA MILKY 15GM</t>
  </si>
  <si>
    <t>CHEERA ROYAL RED 15GM</t>
  </si>
  <si>
    <t>PALAK CHEERA 15GM</t>
  </si>
  <si>
    <t>AGATHI CHEERA 15GM</t>
  </si>
  <si>
    <t>PAPPAYA 15GM</t>
  </si>
  <si>
    <t>SUNFLOWER 15GM</t>
  </si>
  <si>
    <t>MANUFACTURED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</si>
</sst>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44" fontId="4" fillId="0" borderId="1" xfId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5" fillId="0" borderId="1" xfId="0" applyFont="1" applyBorder="1"/>
    <xf numFmtId="44" fontId="5" fillId="0" borderId="1" xfId="1" applyFont="1" applyBorder="1"/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indent="1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F22C-AF67-4DAD-B2DF-D65535A71B94}">
  <dimension ref="A1:Z238"/>
  <sheetViews>
    <sheetView tabSelected="1" workbookViewId="0">
      <selection activeCell="F6" sqref="F6"/>
    </sheetView>
  </sheetViews>
  <sheetFormatPr defaultRowHeight="14.4" x14ac:dyDescent="0.3"/>
  <cols>
    <col min="1" max="2" width="10.33203125" bestFit="1" customWidth="1"/>
    <col min="3" max="3" width="12.21875" bestFit="1" customWidth="1"/>
    <col min="4" max="4" width="26.44140625" bestFit="1" customWidth="1"/>
    <col min="5" max="5" width="15.33203125" bestFit="1" customWidth="1"/>
    <col min="6" max="6" width="40.33203125" bestFit="1" customWidth="1"/>
    <col min="7" max="7" width="30.5546875" bestFit="1" customWidth="1"/>
    <col min="8" max="8" width="6.109375" bestFit="1" customWidth="1"/>
    <col min="9" max="9" width="13.6640625" bestFit="1" customWidth="1"/>
    <col min="10" max="10" width="26.77734375" bestFit="1" customWidth="1"/>
    <col min="11" max="11" width="22.77734375" bestFit="1" customWidth="1"/>
    <col min="12" max="12" width="17.21875" bestFit="1" customWidth="1"/>
    <col min="13" max="13" width="19.88671875" bestFit="1" customWidth="1"/>
    <col min="14" max="14" width="19.44140625" bestFit="1" customWidth="1"/>
    <col min="15" max="15" width="13.6640625" bestFit="1" customWidth="1"/>
    <col min="16" max="16" width="16.21875" bestFit="1" customWidth="1"/>
    <col min="17" max="17" width="13.33203125" bestFit="1" customWidth="1"/>
    <col min="18" max="18" width="21.44140625" bestFit="1" customWidth="1"/>
    <col min="19" max="19" width="14.44140625" bestFit="1" customWidth="1"/>
    <col min="20" max="20" width="11.44140625" bestFit="1" customWidth="1"/>
    <col min="21" max="21" width="16.77734375" bestFit="1" customWidth="1"/>
    <col min="22" max="22" width="17.21875" bestFit="1" customWidth="1"/>
    <col min="23" max="23" width="22.5546875" bestFit="1" customWidth="1"/>
    <col min="25" max="25" width="15.109375" bestFit="1" customWidth="1"/>
    <col min="26" max="26" width="16" bestFit="1" customWidth="1"/>
  </cols>
  <sheetData>
    <row r="1" spans="1:26" x14ac:dyDescent="0.3">
      <c r="A1" s="22"/>
      <c r="B1" s="20">
        <v>0.25</v>
      </c>
      <c r="C1" s="22"/>
      <c r="D1" s="22"/>
      <c r="E1" s="22"/>
      <c r="F1" s="17"/>
      <c r="G1" s="22"/>
      <c r="H1" s="16"/>
      <c r="I1" s="22"/>
      <c r="J1" s="22"/>
      <c r="K1" s="20">
        <v>0.1</v>
      </c>
      <c r="L1" s="20">
        <v>0.06</v>
      </c>
      <c r="M1" s="20">
        <v>0.06</v>
      </c>
      <c r="N1" s="20">
        <v>0.09</v>
      </c>
      <c r="O1" s="20">
        <v>0.1</v>
      </c>
      <c r="P1" s="20">
        <v>0.15</v>
      </c>
      <c r="Q1" s="20">
        <v>0.2</v>
      </c>
      <c r="R1" s="20">
        <v>0.2</v>
      </c>
      <c r="S1" s="20">
        <v>0.09</v>
      </c>
      <c r="T1" s="20">
        <v>0.09</v>
      </c>
      <c r="U1" s="20">
        <v>0.15</v>
      </c>
      <c r="V1" s="20">
        <v>0.2</v>
      </c>
      <c r="W1" s="20">
        <v>0.15</v>
      </c>
      <c r="X1" s="20">
        <v>0.1</v>
      </c>
      <c r="Y1" s="20">
        <v>0.05</v>
      </c>
      <c r="Z1" s="20">
        <v>0.1</v>
      </c>
    </row>
    <row r="2" spans="1:26" x14ac:dyDescent="0.3">
      <c r="A2" s="23" t="s">
        <v>412</v>
      </c>
      <c r="B2" s="23" t="s">
        <v>423</v>
      </c>
      <c r="C2" s="23" t="s">
        <v>393</v>
      </c>
      <c r="D2" s="23" t="s">
        <v>214</v>
      </c>
      <c r="E2" s="21" t="s">
        <v>424</v>
      </c>
      <c r="F2" s="21" t="s">
        <v>215</v>
      </c>
      <c r="G2" s="23" t="s">
        <v>425</v>
      </c>
      <c r="H2" s="20" t="s">
        <v>395</v>
      </c>
      <c r="I2" s="23" t="s">
        <v>426</v>
      </c>
      <c r="J2" s="23" t="s">
        <v>427</v>
      </c>
      <c r="K2" s="23" t="s">
        <v>428</v>
      </c>
      <c r="L2" s="23" t="s">
        <v>416</v>
      </c>
      <c r="M2" s="23" t="s">
        <v>417</v>
      </c>
      <c r="N2" s="21" t="s">
        <v>429</v>
      </c>
      <c r="O2" s="21" t="s">
        <v>430</v>
      </c>
      <c r="P2" s="21" t="s">
        <v>422</v>
      </c>
      <c r="Q2" s="21" t="s">
        <v>421</v>
      </c>
      <c r="R2" s="21" t="s">
        <v>420</v>
      </c>
      <c r="S2" s="21" t="s">
        <v>419</v>
      </c>
      <c r="T2" s="21" t="s">
        <v>431</v>
      </c>
      <c r="U2" s="21" t="s">
        <v>432</v>
      </c>
      <c r="V2" s="21" t="s">
        <v>433</v>
      </c>
      <c r="W2" s="21" t="s">
        <v>434</v>
      </c>
      <c r="X2" s="21" t="s">
        <v>418</v>
      </c>
      <c r="Y2" s="21" t="s">
        <v>435</v>
      </c>
      <c r="Z2" s="21" t="s">
        <v>436</v>
      </c>
    </row>
    <row r="3" spans="1:26" x14ac:dyDescent="0.3">
      <c r="A3" s="22">
        <f>B3+C3</f>
        <v>20.212499999999999</v>
      </c>
      <c r="B3" s="22">
        <f>C3*$B$1</f>
        <v>4.0424999999999995</v>
      </c>
      <c r="C3" s="22">
        <f>SUM(J3:Z3)</f>
        <v>16.169999999999998</v>
      </c>
      <c r="D3" s="24" t="s">
        <v>0</v>
      </c>
      <c r="E3" s="24" t="s">
        <v>437</v>
      </c>
      <c r="F3" s="17" t="s">
        <v>1</v>
      </c>
      <c r="G3" s="22">
        <v>5.5</v>
      </c>
      <c r="H3" s="16">
        <v>0.05</v>
      </c>
      <c r="I3" s="22">
        <f>G3*H3</f>
        <v>0.27500000000000002</v>
      </c>
      <c r="J3" s="22">
        <f>G3+I3</f>
        <v>5.7750000000000004</v>
      </c>
      <c r="K3" s="22">
        <f t="shared" ref="K3:Z18" si="0">$G3*K$1</f>
        <v>0.55000000000000004</v>
      </c>
      <c r="L3" s="22">
        <f t="shared" si="0"/>
        <v>0.32999999999999996</v>
      </c>
      <c r="M3" s="22">
        <f t="shared" si="0"/>
        <v>0.32999999999999996</v>
      </c>
      <c r="N3" s="22">
        <f t="shared" si="0"/>
        <v>0.495</v>
      </c>
      <c r="O3" s="22">
        <f t="shared" si="0"/>
        <v>0.55000000000000004</v>
      </c>
      <c r="P3" s="22">
        <f t="shared" si="0"/>
        <v>0.82499999999999996</v>
      </c>
      <c r="Q3" s="22">
        <f t="shared" si="0"/>
        <v>1.1000000000000001</v>
      </c>
      <c r="R3" s="22">
        <f t="shared" si="0"/>
        <v>1.1000000000000001</v>
      </c>
      <c r="S3" s="22">
        <f t="shared" si="0"/>
        <v>0.495</v>
      </c>
      <c r="T3" s="22">
        <f t="shared" si="0"/>
        <v>0.495</v>
      </c>
      <c r="U3" s="22">
        <f t="shared" si="0"/>
        <v>0.82499999999999996</v>
      </c>
      <c r="V3" s="22">
        <f t="shared" si="0"/>
        <v>1.1000000000000001</v>
      </c>
      <c r="W3" s="22">
        <f t="shared" si="0"/>
        <v>0.82499999999999996</v>
      </c>
      <c r="X3" s="22">
        <f t="shared" si="0"/>
        <v>0.55000000000000004</v>
      </c>
      <c r="Y3" s="22">
        <f t="shared" si="0"/>
        <v>0.27500000000000002</v>
      </c>
      <c r="Z3" s="22">
        <f t="shared" si="0"/>
        <v>0.55000000000000004</v>
      </c>
    </row>
    <row r="4" spans="1:26" x14ac:dyDescent="0.3">
      <c r="A4" s="22">
        <f t="shared" ref="A4:A67" si="1">B4+C4</f>
        <v>202.125</v>
      </c>
      <c r="B4" s="22">
        <f t="shared" ref="B4:B67" si="2">C4*$B$1</f>
        <v>40.424999999999997</v>
      </c>
      <c r="C4" s="22">
        <f t="shared" ref="C4:C67" si="3">SUM(J4:Z4)</f>
        <v>161.69999999999999</v>
      </c>
      <c r="D4" s="24" t="s">
        <v>0</v>
      </c>
      <c r="E4" s="24" t="s">
        <v>437</v>
      </c>
      <c r="F4" s="17" t="s">
        <v>2</v>
      </c>
      <c r="G4" s="22">
        <v>55</v>
      </c>
      <c r="H4" s="16">
        <v>0.05</v>
      </c>
      <c r="I4" s="22">
        <f t="shared" ref="I4:I67" si="4">G4*H4</f>
        <v>2.75</v>
      </c>
      <c r="J4" s="22">
        <f t="shared" ref="J4:J67" si="5">G4+I4</f>
        <v>57.75</v>
      </c>
      <c r="K4" s="22">
        <f t="shared" si="0"/>
        <v>5.5</v>
      </c>
      <c r="L4" s="22">
        <f t="shared" si="0"/>
        <v>3.3</v>
      </c>
      <c r="M4" s="22">
        <f t="shared" si="0"/>
        <v>3.3</v>
      </c>
      <c r="N4" s="22">
        <f t="shared" si="0"/>
        <v>4.95</v>
      </c>
      <c r="O4" s="22">
        <f t="shared" si="0"/>
        <v>5.5</v>
      </c>
      <c r="P4" s="22">
        <f t="shared" si="0"/>
        <v>8.25</v>
      </c>
      <c r="Q4" s="22">
        <f t="shared" si="0"/>
        <v>11</v>
      </c>
      <c r="R4" s="22">
        <f t="shared" si="0"/>
        <v>11</v>
      </c>
      <c r="S4" s="22">
        <f t="shared" si="0"/>
        <v>4.95</v>
      </c>
      <c r="T4" s="22">
        <f t="shared" si="0"/>
        <v>4.95</v>
      </c>
      <c r="U4" s="22">
        <f t="shared" si="0"/>
        <v>8.25</v>
      </c>
      <c r="V4" s="22">
        <f t="shared" si="0"/>
        <v>11</v>
      </c>
      <c r="W4" s="22">
        <f t="shared" si="0"/>
        <v>8.25</v>
      </c>
      <c r="X4" s="22">
        <f t="shared" si="0"/>
        <v>5.5</v>
      </c>
      <c r="Y4" s="22">
        <f t="shared" si="0"/>
        <v>2.75</v>
      </c>
      <c r="Z4" s="22">
        <f t="shared" si="0"/>
        <v>5.5</v>
      </c>
    </row>
    <row r="5" spans="1:26" x14ac:dyDescent="0.3">
      <c r="A5" s="22">
        <f t="shared" si="1"/>
        <v>606.375</v>
      </c>
      <c r="B5" s="22">
        <f t="shared" si="2"/>
        <v>121.27500000000001</v>
      </c>
      <c r="C5" s="22">
        <f t="shared" si="3"/>
        <v>485.1</v>
      </c>
      <c r="D5" s="24" t="s">
        <v>0</v>
      </c>
      <c r="E5" s="24" t="s">
        <v>437</v>
      </c>
      <c r="F5" s="17" t="s">
        <v>3</v>
      </c>
      <c r="G5" s="22">
        <v>165</v>
      </c>
      <c r="H5" s="16">
        <v>0.05</v>
      </c>
      <c r="I5" s="22">
        <f t="shared" si="4"/>
        <v>8.25</v>
      </c>
      <c r="J5" s="22">
        <f t="shared" si="5"/>
        <v>173.25</v>
      </c>
      <c r="K5" s="22">
        <f t="shared" si="0"/>
        <v>16.5</v>
      </c>
      <c r="L5" s="22">
        <f t="shared" si="0"/>
        <v>9.9</v>
      </c>
      <c r="M5" s="22">
        <f t="shared" si="0"/>
        <v>9.9</v>
      </c>
      <c r="N5" s="22">
        <f t="shared" si="0"/>
        <v>14.85</v>
      </c>
      <c r="O5" s="22">
        <f t="shared" si="0"/>
        <v>16.5</v>
      </c>
      <c r="P5" s="22">
        <f t="shared" si="0"/>
        <v>24.75</v>
      </c>
      <c r="Q5" s="22">
        <f t="shared" si="0"/>
        <v>33</v>
      </c>
      <c r="R5" s="22">
        <f t="shared" si="0"/>
        <v>33</v>
      </c>
      <c r="S5" s="22">
        <f t="shared" si="0"/>
        <v>14.85</v>
      </c>
      <c r="T5" s="22">
        <f t="shared" si="0"/>
        <v>14.85</v>
      </c>
      <c r="U5" s="22">
        <f t="shared" si="0"/>
        <v>24.75</v>
      </c>
      <c r="V5" s="22">
        <f t="shared" si="0"/>
        <v>33</v>
      </c>
      <c r="W5" s="22">
        <f t="shared" si="0"/>
        <v>24.75</v>
      </c>
      <c r="X5" s="22">
        <f t="shared" si="0"/>
        <v>16.5</v>
      </c>
      <c r="Y5" s="22">
        <f t="shared" si="0"/>
        <v>8.25</v>
      </c>
      <c r="Z5" s="22">
        <f t="shared" si="0"/>
        <v>16.5</v>
      </c>
    </row>
    <row r="6" spans="1:26" x14ac:dyDescent="0.3">
      <c r="A6" s="22">
        <f t="shared" si="1"/>
        <v>71.662500000000009</v>
      </c>
      <c r="B6" s="22">
        <f t="shared" si="2"/>
        <v>14.332500000000001</v>
      </c>
      <c r="C6" s="22">
        <f t="shared" si="3"/>
        <v>57.330000000000005</v>
      </c>
      <c r="D6" s="24" t="s">
        <v>0</v>
      </c>
      <c r="E6" s="24" t="s">
        <v>437</v>
      </c>
      <c r="F6" s="17" t="s">
        <v>4</v>
      </c>
      <c r="G6" s="22">
        <v>19.5</v>
      </c>
      <c r="H6" s="16">
        <v>0.05</v>
      </c>
      <c r="I6" s="22">
        <f t="shared" si="4"/>
        <v>0.97500000000000009</v>
      </c>
      <c r="J6" s="22">
        <f t="shared" si="5"/>
        <v>20.475000000000001</v>
      </c>
      <c r="K6" s="22">
        <f t="shared" si="0"/>
        <v>1.9500000000000002</v>
      </c>
      <c r="L6" s="22">
        <f t="shared" si="0"/>
        <v>1.17</v>
      </c>
      <c r="M6" s="22">
        <f t="shared" si="0"/>
        <v>1.17</v>
      </c>
      <c r="N6" s="22">
        <f t="shared" si="0"/>
        <v>1.7549999999999999</v>
      </c>
      <c r="O6" s="22">
        <f t="shared" si="0"/>
        <v>1.9500000000000002</v>
      </c>
      <c r="P6" s="22">
        <f t="shared" si="0"/>
        <v>2.9249999999999998</v>
      </c>
      <c r="Q6" s="22">
        <f t="shared" si="0"/>
        <v>3.9000000000000004</v>
      </c>
      <c r="R6" s="22">
        <f t="shared" si="0"/>
        <v>3.9000000000000004</v>
      </c>
      <c r="S6" s="22">
        <f t="shared" si="0"/>
        <v>1.7549999999999999</v>
      </c>
      <c r="T6" s="22">
        <f t="shared" si="0"/>
        <v>1.7549999999999999</v>
      </c>
      <c r="U6" s="22">
        <f t="shared" si="0"/>
        <v>2.9249999999999998</v>
      </c>
      <c r="V6" s="22">
        <f t="shared" si="0"/>
        <v>3.9000000000000004</v>
      </c>
      <c r="W6" s="22">
        <f t="shared" si="0"/>
        <v>2.9249999999999998</v>
      </c>
      <c r="X6" s="22">
        <f t="shared" si="0"/>
        <v>1.9500000000000002</v>
      </c>
      <c r="Y6" s="22">
        <f t="shared" si="0"/>
        <v>0.97500000000000009</v>
      </c>
      <c r="Z6" s="22">
        <f t="shared" si="0"/>
        <v>1.9500000000000002</v>
      </c>
    </row>
    <row r="7" spans="1:26" x14ac:dyDescent="0.3">
      <c r="A7" s="22">
        <f t="shared" si="1"/>
        <v>358.3125</v>
      </c>
      <c r="B7" s="22">
        <f t="shared" si="2"/>
        <v>71.662499999999994</v>
      </c>
      <c r="C7" s="22">
        <f t="shared" si="3"/>
        <v>286.64999999999998</v>
      </c>
      <c r="D7" s="24" t="s">
        <v>0</v>
      </c>
      <c r="E7" s="24" t="s">
        <v>437</v>
      </c>
      <c r="F7" s="17" t="s">
        <v>5</v>
      </c>
      <c r="G7" s="22">
        <v>97.5</v>
      </c>
      <c r="H7" s="16">
        <v>0.05</v>
      </c>
      <c r="I7" s="22">
        <f t="shared" si="4"/>
        <v>4.875</v>
      </c>
      <c r="J7" s="22">
        <f t="shared" si="5"/>
        <v>102.375</v>
      </c>
      <c r="K7" s="22">
        <f t="shared" si="0"/>
        <v>9.75</v>
      </c>
      <c r="L7" s="22">
        <f t="shared" si="0"/>
        <v>5.85</v>
      </c>
      <c r="M7" s="22">
        <f t="shared" si="0"/>
        <v>5.85</v>
      </c>
      <c r="N7" s="22">
        <f t="shared" si="0"/>
        <v>8.7750000000000004</v>
      </c>
      <c r="O7" s="22">
        <f t="shared" si="0"/>
        <v>9.75</v>
      </c>
      <c r="P7" s="22">
        <f t="shared" si="0"/>
        <v>14.625</v>
      </c>
      <c r="Q7" s="22">
        <f t="shared" si="0"/>
        <v>19.5</v>
      </c>
      <c r="R7" s="22">
        <f t="shared" si="0"/>
        <v>19.5</v>
      </c>
      <c r="S7" s="22">
        <f t="shared" si="0"/>
        <v>8.7750000000000004</v>
      </c>
      <c r="T7" s="22">
        <f t="shared" si="0"/>
        <v>8.7750000000000004</v>
      </c>
      <c r="U7" s="22">
        <f t="shared" si="0"/>
        <v>14.625</v>
      </c>
      <c r="V7" s="22">
        <f t="shared" si="0"/>
        <v>19.5</v>
      </c>
      <c r="W7" s="22">
        <f t="shared" si="0"/>
        <v>14.625</v>
      </c>
      <c r="X7" s="22">
        <f t="shared" si="0"/>
        <v>9.75</v>
      </c>
      <c r="Y7" s="22">
        <f t="shared" si="0"/>
        <v>4.875</v>
      </c>
      <c r="Z7" s="22">
        <f t="shared" si="0"/>
        <v>9.75</v>
      </c>
    </row>
    <row r="8" spans="1:26" x14ac:dyDescent="0.3">
      <c r="A8" s="22">
        <f t="shared" si="1"/>
        <v>2149.875</v>
      </c>
      <c r="B8" s="22">
        <f t="shared" si="2"/>
        <v>429.97500000000002</v>
      </c>
      <c r="C8" s="22">
        <f t="shared" si="3"/>
        <v>1719.9</v>
      </c>
      <c r="D8" s="24" t="s">
        <v>0</v>
      </c>
      <c r="E8" s="24" t="s">
        <v>437</v>
      </c>
      <c r="F8" s="17" t="s">
        <v>6</v>
      </c>
      <c r="G8" s="22">
        <v>585</v>
      </c>
      <c r="H8" s="16">
        <v>0.05</v>
      </c>
      <c r="I8" s="22">
        <f t="shared" si="4"/>
        <v>29.25</v>
      </c>
      <c r="J8" s="22">
        <f t="shared" si="5"/>
        <v>614.25</v>
      </c>
      <c r="K8" s="22">
        <f t="shared" si="0"/>
        <v>58.5</v>
      </c>
      <c r="L8" s="22">
        <f t="shared" si="0"/>
        <v>35.1</v>
      </c>
      <c r="M8" s="22">
        <f t="shared" si="0"/>
        <v>35.1</v>
      </c>
      <c r="N8" s="22">
        <f t="shared" si="0"/>
        <v>52.65</v>
      </c>
      <c r="O8" s="22">
        <f t="shared" si="0"/>
        <v>58.5</v>
      </c>
      <c r="P8" s="22">
        <f t="shared" si="0"/>
        <v>87.75</v>
      </c>
      <c r="Q8" s="22">
        <f t="shared" si="0"/>
        <v>117</v>
      </c>
      <c r="R8" s="22">
        <f t="shared" si="0"/>
        <v>117</v>
      </c>
      <c r="S8" s="22">
        <f t="shared" si="0"/>
        <v>52.65</v>
      </c>
      <c r="T8" s="22">
        <f t="shared" si="0"/>
        <v>52.65</v>
      </c>
      <c r="U8" s="22">
        <f t="shared" si="0"/>
        <v>87.75</v>
      </c>
      <c r="V8" s="22">
        <f t="shared" si="0"/>
        <v>117</v>
      </c>
      <c r="W8" s="22">
        <f t="shared" si="0"/>
        <v>87.75</v>
      </c>
      <c r="X8" s="22">
        <f t="shared" si="0"/>
        <v>58.5</v>
      </c>
      <c r="Y8" s="22">
        <f t="shared" si="0"/>
        <v>29.25</v>
      </c>
      <c r="Z8" s="22">
        <f t="shared" si="0"/>
        <v>58.5</v>
      </c>
    </row>
    <row r="9" spans="1:26" x14ac:dyDescent="0.3">
      <c r="A9" s="22">
        <f t="shared" si="1"/>
        <v>17.64</v>
      </c>
      <c r="B9" s="22">
        <f t="shared" si="2"/>
        <v>3.5280000000000005</v>
      </c>
      <c r="C9" s="22">
        <f t="shared" si="3"/>
        <v>14.112000000000002</v>
      </c>
      <c r="D9" s="24" t="s">
        <v>0</v>
      </c>
      <c r="E9" s="24" t="s">
        <v>437</v>
      </c>
      <c r="F9" s="17" t="s">
        <v>7</v>
      </c>
      <c r="G9" s="22">
        <v>4.8</v>
      </c>
      <c r="H9" s="16">
        <v>0.05</v>
      </c>
      <c r="I9" s="22">
        <f t="shared" si="4"/>
        <v>0.24</v>
      </c>
      <c r="J9" s="22">
        <f t="shared" si="5"/>
        <v>5.04</v>
      </c>
      <c r="K9" s="22">
        <f t="shared" si="0"/>
        <v>0.48</v>
      </c>
      <c r="L9" s="22">
        <f t="shared" si="0"/>
        <v>0.28799999999999998</v>
      </c>
      <c r="M9" s="22">
        <f t="shared" si="0"/>
        <v>0.28799999999999998</v>
      </c>
      <c r="N9" s="22">
        <f t="shared" si="0"/>
        <v>0.432</v>
      </c>
      <c r="O9" s="22">
        <f t="shared" si="0"/>
        <v>0.48</v>
      </c>
      <c r="P9" s="22">
        <f t="shared" si="0"/>
        <v>0.72</v>
      </c>
      <c r="Q9" s="22">
        <f t="shared" si="0"/>
        <v>0.96</v>
      </c>
      <c r="R9" s="22">
        <f t="shared" si="0"/>
        <v>0.96</v>
      </c>
      <c r="S9" s="22">
        <f t="shared" si="0"/>
        <v>0.432</v>
      </c>
      <c r="T9" s="22">
        <f t="shared" si="0"/>
        <v>0.432</v>
      </c>
      <c r="U9" s="22">
        <f t="shared" si="0"/>
        <v>0.72</v>
      </c>
      <c r="V9" s="22">
        <f t="shared" si="0"/>
        <v>0.96</v>
      </c>
      <c r="W9" s="22">
        <f t="shared" si="0"/>
        <v>0.72</v>
      </c>
      <c r="X9" s="22">
        <f t="shared" si="0"/>
        <v>0.48</v>
      </c>
      <c r="Y9" s="22">
        <f t="shared" si="0"/>
        <v>0.24</v>
      </c>
      <c r="Z9" s="22">
        <f t="shared" si="0"/>
        <v>0.48</v>
      </c>
    </row>
    <row r="10" spans="1:26" x14ac:dyDescent="0.3">
      <c r="A10" s="22">
        <f t="shared" si="1"/>
        <v>52.92</v>
      </c>
      <c r="B10" s="22">
        <f t="shared" si="2"/>
        <v>10.584</v>
      </c>
      <c r="C10" s="22">
        <f t="shared" si="3"/>
        <v>42.335999999999999</v>
      </c>
      <c r="D10" s="24" t="s">
        <v>0</v>
      </c>
      <c r="E10" s="24" t="s">
        <v>437</v>
      </c>
      <c r="F10" s="17" t="s">
        <v>8</v>
      </c>
      <c r="G10" s="22">
        <v>14.4</v>
      </c>
      <c r="H10" s="16">
        <v>0.05</v>
      </c>
      <c r="I10" s="22">
        <f t="shared" si="4"/>
        <v>0.72000000000000008</v>
      </c>
      <c r="J10" s="22">
        <f t="shared" si="5"/>
        <v>15.120000000000001</v>
      </c>
      <c r="K10" s="22">
        <f t="shared" si="0"/>
        <v>1.4400000000000002</v>
      </c>
      <c r="L10" s="22">
        <f t="shared" si="0"/>
        <v>0.86399999999999999</v>
      </c>
      <c r="M10" s="22">
        <f t="shared" si="0"/>
        <v>0.86399999999999999</v>
      </c>
      <c r="N10" s="22">
        <f t="shared" si="0"/>
        <v>1.296</v>
      </c>
      <c r="O10" s="22">
        <f t="shared" si="0"/>
        <v>1.4400000000000002</v>
      </c>
      <c r="P10" s="22">
        <f t="shared" si="0"/>
        <v>2.16</v>
      </c>
      <c r="Q10" s="22">
        <f t="shared" si="0"/>
        <v>2.8800000000000003</v>
      </c>
      <c r="R10" s="22">
        <f t="shared" si="0"/>
        <v>2.8800000000000003</v>
      </c>
      <c r="S10" s="22">
        <f t="shared" si="0"/>
        <v>1.296</v>
      </c>
      <c r="T10" s="22">
        <f t="shared" si="0"/>
        <v>1.296</v>
      </c>
      <c r="U10" s="22">
        <f t="shared" si="0"/>
        <v>2.16</v>
      </c>
      <c r="V10" s="22">
        <f t="shared" si="0"/>
        <v>2.8800000000000003</v>
      </c>
      <c r="W10" s="22">
        <f t="shared" si="0"/>
        <v>2.16</v>
      </c>
      <c r="X10" s="22">
        <f t="shared" si="0"/>
        <v>1.4400000000000002</v>
      </c>
      <c r="Y10" s="22">
        <f t="shared" si="0"/>
        <v>0.72000000000000008</v>
      </c>
      <c r="Z10" s="22">
        <f t="shared" si="0"/>
        <v>1.4400000000000002</v>
      </c>
    </row>
    <row r="11" spans="1:26" x14ac:dyDescent="0.3">
      <c r="A11" s="22">
        <f t="shared" si="1"/>
        <v>176.4</v>
      </c>
      <c r="B11" s="22">
        <f t="shared" si="2"/>
        <v>35.28</v>
      </c>
      <c r="C11" s="22">
        <f t="shared" si="3"/>
        <v>141.12</v>
      </c>
      <c r="D11" s="24" t="s">
        <v>0</v>
      </c>
      <c r="E11" s="24" t="s">
        <v>437</v>
      </c>
      <c r="F11" s="17" t="s">
        <v>9</v>
      </c>
      <c r="G11" s="22">
        <v>48</v>
      </c>
      <c r="H11" s="16">
        <v>0.05</v>
      </c>
      <c r="I11" s="22">
        <f t="shared" si="4"/>
        <v>2.4000000000000004</v>
      </c>
      <c r="J11" s="22">
        <f t="shared" si="5"/>
        <v>50.4</v>
      </c>
      <c r="K11" s="22">
        <f t="shared" si="0"/>
        <v>4.8000000000000007</v>
      </c>
      <c r="L11" s="22">
        <f t="shared" si="0"/>
        <v>2.88</v>
      </c>
      <c r="M11" s="22">
        <f t="shared" si="0"/>
        <v>2.88</v>
      </c>
      <c r="N11" s="22">
        <f t="shared" si="0"/>
        <v>4.32</v>
      </c>
      <c r="O11" s="22">
        <f t="shared" si="0"/>
        <v>4.8000000000000007</v>
      </c>
      <c r="P11" s="22">
        <f t="shared" si="0"/>
        <v>7.1999999999999993</v>
      </c>
      <c r="Q11" s="22">
        <f t="shared" si="0"/>
        <v>9.6000000000000014</v>
      </c>
      <c r="R11" s="22">
        <f t="shared" si="0"/>
        <v>9.6000000000000014</v>
      </c>
      <c r="S11" s="22">
        <f t="shared" si="0"/>
        <v>4.32</v>
      </c>
      <c r="T11" s="22">
        <f t="shared" si="0"/>
        <v>4.32</v>
      </c>
      <c r="U11" s="22">
        <f t="shared" si="0"/>
        <v>7.1999999999999993</v>
      </c>
      <c r="V11" s="22">
        <f t="shared" si="0"/>
        <v>9.6000000000000014</v>
      </c>
      <c r="W11" s="22">
        <f t="shared" si="0"/>
        <v>7.1999999999999993</v>
      </c>
      <c r="X11" s="22">
        <f t="shared" si="0"/>
        <v>4.8000000000000007</v>
      </c>
      <c r="Y11" s="22">
        <f t="shared" si="0"/>
        <v>2.4000000000000004</v>
      </c>
      <c r="Z11" s="22">
        <f t="shared" si="0"/>
        <v>4.8000000000000007</v>
      </c>
    </row>
    <row r="12" spans="1:26" x14ac:dyDescent="0.3">
      <c r="A12" s="22">
        <f t="shared" si="1"/>
        <v>529.19999999999993</v>
      </c>
      <c r="B12" s="22">
        <f t="shared" si="2"/>
        <v>105.83999999999999</v>
      </c>
      <c r="C12" s="22">
        <f t="shared" si="3"/>
        <v>423.35999999999996</v>
      </c>
      <c r="D12" s="24" t="s">
        <v>0</v>
      </c>
      <c r="E12" s="24" t="s">
        <v>437</v>
      </c>
      <c r="F12" s="17" t="s">
        <v>10</v>
      </c>
      <c r="G12" s="22">
        <v>144</v>
      </c>
      <c r="H12" s="16">
        <v>0.05</v>
      </c>
      <c r="I12" s="22">
        <f t="shared" si="4"/>
        <v>7.2</v>
      </c>
      <c r="J12" s="22">
        <f t="shared" si="5"/>
        <v>151.19999999999999</v>
      </c>
      <c r="K12" s="22">
        <f t="shared" si="0"/>
        <v>14.4</v>
      </c>
      <c r="L12" s="22">
        <f t="shared" si="0"/>
        <v>8.64</v>
      </c>
      <c r="M12" s="22">
        <f t="shared" si="0"/>
        <v>8.64</v>
      </c>
      <c r="N12" s="22">
        <f t="shared" si="0"/>
        <v>12.959999999999999</v>
      </c>
      <c r="O12" s="22">
        <f t="shared" si="0"/>
        <v>14.4</v>
      </c>
      <c r="P12" s="22">
        <f t="shared" si="0"/>
        <v>21.599999999999998</v>
      </c>
      <c r="Q12" s="22">
        <f t="shared" si="0"/>
        <v>28.8</v>
      </c>
      <c r="R12" s="22">
        <f t="shared" si="0"/>
        <v>28.8</v>
      </c>
      <c r="S12" s="22">
        <f t="shared" si="0"/>
        <v>12.959999999999999</v>
      </c>
      <c r="T12" s="22">
        <f t="shared" si="0"/>
        <v>12.959999999999999</v>
      </c>
      <c r="U12" s="22">
        <f t="shared" si="0"/>
        <v>21.599999999999998</v>
      </c>
      <c r="V12" s="22">
        <f t="shared" si="0"/>
        <v>28.8</v>
      </c>
      <c r="W12" s="22">
        <f t="shared" si="0"/>
        <v>21.599999999999998</v>
      </c>
      <c r="X12" s="22">
        <f t="shared" si="0"/>
        <v>14.4</v>
      </c>
      <c r="Y12" s="22">
        <f t="shared" si="0"/>
        <v>7.2</v>
      </c>
      <c r="Z12" s="22">
        <f t="shared" si="0"/>
        <v>14.4</v>
      </c>
    </row>
    <row r="13" spans="1:26" x14ac:dyDescent="0.3">
      <c r="A13" s="22">
        <f t="shared" si="1"/>
        <v>77.175000000000026</v>
      </c>
      <c r="B13" s="22">
        <f t="shared" si="2"/>
        <v>15.435000000000004</v>
      </c>
      <c r="C13" s="22">
        <f t="shared" si="3"/>
        <v>61.740000000000016</v>
      </c>
      <c r="D13" s="24" t="s">
        <v>0</v>
      </c>
      <c r="E13" s="24" t="s">
        <v>437</v>
      </c>
      <c r="F13" s="17" t="s">
        <v>11</v>
      </c>
      <c r="G13" s="22">
        <v>21</v>
      </c>
      <c r="H13" s="16">
        <v>0.05</v>
      </c>
      <c r="I13" s="22">
        <f t="shared" si="4"/>
        <v>1.05</v>
      </c>
      <c r="J13" s="22">
        <f t="shared" si="5"/>
        <v>22.05</v>
      </c>
      <c r="K13" s="22">
        <f t="shared" si="0"/>
        <v>2.1</v>
      </c>
      <c r="L13" s="22">
        <f t="shared" si="0"/>
        <v>1.26</v>
      </c>
      <c r="M13" s="22">
        <f t="shared" si="0"/>
        <v>1.26</v>
      </c>
      <c r="N13" s="22">
        <f t="shared" si="0"/>
        <v>1.89</v>
      </c>
      <c r="O13" s="22">
        <f t="shared" si="0"/>
        <v>2.1</v>
      </c>
      <c r="P13" s="22">
        <f t="shared" si="0"/>
        <v>3.15</v>
      </c>
      <c r="Q13" s="22">
        <f t="shared" si="0"/>
        <v>4.2</v>
      </c>
      <c r="R13" s="22">
        <f t="shared" si="0"/>
        <v>4.2</v>
      </c>
      <c r="S13" s="22">
        <f t="shared" si="0"/>
        <v>1.89</v>
      </c>
      <c r="T13" s="22">
        <f t="shared" si="0"/>
        <v>1.89</v>
      </c>
      <c r="U13" s="22">
        <f t="shared" si="0"/>
        <v>3.15</v>
      </c>
      <c r="V13" s="22">
        <f t="shared" si="0"/>
        <v>4.2</v>
      </c>
      <c r="W13" s="22">
        <f t="shared" si="0"/>
        <v>3.15</v>
      </c>
      <c r="X13" s="22">
        <f t="shared" si="0"/>
        <v>2.1</v>
      </c>
      <c r="Y13" s="22">
        <f t="shared" si="0"/>
        <v>1.05</v>
      </c>
      <c r="Z13" s="22">
        <f t="shared" si="0"/>
        <v>2.1</v>
      </c>
    </row>
    <row r="14" spans="1:26" x14ac:dyDescent="0.3">
      <c r="A14" s="22">
        <f t="shared" si="1"/>
        <v>2315.25</v>
      </c>
      <c r="B14" s="22">
        <f t="shared" si="2"/>
        <v>463.05</v>
      </c>
      <c r="C14" s="22">
        <f t="shared" si="3"/>
        <v>1852.2</v>
      </c>
      <c r="D14" s="24" t="s">
        <v>0</v>
      </c>
      <c r="E14" s="24" t="s">
        <v>437</v>
      </c>
      <c r="F14" s="17" t="s">
        <v>12</v>
      </c>
      <c r="G14" s="22">
        <v>630</v>
      </c>
      <c r="H14" s="16">
        <v>0.05</v>
      </c>
      <c r="I14" s="22">
        <f t="shared" si="4"/>
        <v>31.5</v>
      </c>
      <c r="J14" s="22">
        <f t="shared" si="5"/>
        <v>661.5</v>
      </c>
      <c r="K14" s="22">
        <f t="shared" si="0"/>
        <v>63</v>
      </c>
      <c r="L14" s="22">
        <f t="shared" si="0"/>
        <v>37.799999999999997</v>
      </c>
      <c r="M14" s="22">
        <f t="shared" si="0"/>
        <v>37.799999999999997</v>
      </c>
      <c r="N14" s="22">
        <f t="shared" si="0"/>
        <v>56.699999999999996</v>
      </c>
      <c r="O14" s="22">
        <f t="shared" si="0"/>
        <v>63</v>
      </c>
      <c r="P14" s="22">
        <f t="shared" si="0"/>
        <v>94.5</v>
      </c>
      <c r="Q14" s="22">
        <f t="shared" si="0"/>
        <v>126</v>
      </c>
      <c r="R14" s="22">
        <f t="shared" si="0"/>
        <v>126</v>
      </c>
      <c r="S14" s="22">
        <f t="shared" si="0"/>
        <v>56.699999999999996</v>
      </c>
      <c r="T14" s="22">
        <f t="shared" si="0"/>
        <v>56.699999999999996</v>
      </c>
      <c r="U14" s="22">
        <f t="shared" si="0"/>
        <v>94.5</v>
      </c>
      <c r="V14" s="22">
        <f t="shared" si="0"/>
        <v>126</v>
      </c>
      <c r="W14" s="22">
        <f t="shared" si="0"/>
        <v>94.5</v>
      </c>
      <c r="X14" s="22">
        <f t="shared" si="0"/>
        <v>63</v>
      </c>
      <c r="Y14" s="22">
        <f t="shared" si="0"/>
        <v>31.5</v>
      </c>
      <c r="Z14" s="22">
        <f t="shared" si="0"/>
        <v>63</v>
      </c>
    </row>
    <row r="15" spans="1:26" x14ac:dyDescent="0.3">
      <c r="A15" s="22">
        <f t="shared" si="1"/>
        <v>231.52499999999998</v>
      </c>
      <c r="B15" s="22">
        <f t="shared" si="2"/>
        <v>46.304999999999993</v>
      </c>
      <c r="C15" s="22">
        <f t="shared" si="3"/>
        <v>185.21999999999997</v>
      </c>
      <c r="D15" s="24" t="s">
        <v>0</v>
      </c>
      <c r="E15" s="24" t="s">
        <v>437</v>
      </c>
      <c r="F15" s="17" t="s">
        <v>13</v>
      </c>
      <c r="G15" s="22">
        <v>63</v>
      </c>
      <c r="H15" s="16">
        <v>0.05</v>
      </c>
      <c r="I15" s="22">
        <f t="shared" si="4"/>
        <v>3.1500000000000004</v>
      </c>
      <c r="J15" s="22">
        <f t="shared" si="5"/>
        <v>66.150000000000006</v>
      </c>
      <c r="K15" s="22">
        <f t="shared" si="0"/>
        <v>6.3000000000000007</v>
      </c>
      <c r="L15" s="22">
        <f t="shared" si="0"/>
        <v>3.78</v>
      </c>
      <c r="M15" s="22">
        <f t="shared" si="0"/>
        <v>3.78</v>
      </c>
      <c r="N15" s="22">
        <f t="shared" si="0"/>
        <v>5.67</v>
      </c>
      <c r="O15" s="22">
        <f t="shared" si="0"/>
        <v>6.3000000000000007</v>
      </c>
      <c r="P15" s="22">
        <f t="shared" si="0"/>
        <v>9.4499999999999993</v>
      </c>
      <c r="Q15" s="22">
        <f t="shared" si="0"/>
        <v>12.600000000000001</v>
      </c>
      <c r="R15" s="22">
        <f t="shared" si="0"/>
        <v>12.600000000000001</v>
      </c>
      <c r="S15" s="22">
        <f t="shared" si="0"/>
        <v>5.67</v>
      </c>
      <c r="T15" s="22">
        <f t="shared" si="0"/>
        <v>5.67</v>
      </c>
      <c r="U15" s="22">
        <f t="shared" si="0"/>
        <v>9.4499999999999993</v>
      </c>
      <c r="V15" s="22">
        <f t="shared" si="0"/>
        <v>12.600000000000001</v>
      </c>
      <c r="W15" s="22">
        <f t="shared" si="0"/>
        <v>9.4499999999999993</v>
      </c>
      <c r="X15" s="22">
        <f t="shared" si="0"/>
        <v>6.3000000000000007</v>
      </c>
      <c r="Y15" s="22">
        <f t="shared" si="0"/>
        <v>3.1500000000000004</v>
      </c>
      <c r="Z15" s="22">
        <f t="shared" si="0"/>
        <v>6.3000000000000007</v>
      </c>
    </row>
    <row r="16" spans="1:26" x14ac:dyDescent="0.3">
      <c r="A16" s="22">
        <f t="shared" si="1"/>
        <v>29.4</v>
      </c>
      <c r="B16" s="22">
        <f t="shared" si="2"/>
        <v>5.88</v>
      </c>
      <c r="C16" s="22">
        <f t="shared" si="3"/>
        <v>23.52</v>
      </c>
      <c r="D16" s="24" t="s">
        <v>0</v>
      </c>
      <c r="E16" s="24" t="s">
        <v>437</v>
      </c>
      <c r="F16" s="17" t="s">
        <v>14</v>
      </c>
      <c r="G16" s="22">
        <v>8</v>
      </c>
      <c r="H16" s="16">
        <v>0.05</v>
      </c>
      <c r="I16" s="22">
        <f t="shared" si="4"/>
        <v>0.4</v>
      </c>
      <c r="J16" s="22">
        <f t="shared" si="5"/>
        <v>8.4</v>
      </c>
      <c r="K16" s="22">
        <f t="shared" si="0"/>
        <v>0.8</v>
      </c>
      <c r="L16" s="22">
        <f t="shared" si="0"/>
        <v>0.48</v>
      </c>
      <c r="M16" s="22">
        <f t="shared" si="0"/>
        <v>0.48</v>
      </c>
      <c r="N16" s="22">
        <f t="shared" si="0"/>
        <v>0.72</v>
      </c>
      <c r="O16" s="22">
        <f t="shared" si="0"/>
        <v>0.8</v>
      </c>
      <c r="P16" s="22">
        <f t="shared" si="0"/>
        <v>1.2</v>
      </c>
      <c r="Q16" s="22">
        <f t="shared" si="0"/>
        <v>1.6</v>
      </c>
      <c r="R16" s="22">
        <f t="shared" si="0"/>
        <v>1.6</v>
      </c>
      <c r="S16" s="22">
        <f t="shared" si="0"/>
        <v>0.72</v>
      </c>
      <c r="T16" s="22">
        <f t="shared" si="0"/>
        <v>0.72</v>
      </c>
      <c r="U16" s="22">
        <f t="shared" si="0"/>
        <v>1.2</v>
      </c>
      <c r="V16" s="22">
        <f t="shared" si="0"/>
        <v>1.6</v>
      </c>
      <c r="W16" s="22">
        <f t="shared" si="0"/>
        <v>1.2</v>
      </c>
      <c r="X16" s="22">
        <f t="shared" si="0"/>
        <v>0.8</v>
      </c>
      <c r="Y16" s="22">
        <f t="shared" si="0"/>
        <v>0.4</v>
      </c>
      <c r="Z16" s="22">
        <f t="shared" si="0"/>
        <v>0.8</v>
      </c>
    </row>
    <row r="17" spans="1:26" x14ac:dyDescent="0.3">
      <c r="A17" s="22">
        <f t="shared" si="1"/>
        <v>294</v>
      </c>
      <c r="B17" s="22">
        <f t="shared" si="2"/>
        <v>58.8</v>
      </c>
      <c r="C17" s="22">
        <f t="shared" si="3"/>
        <v>235.2</v>
      </c>
      <c r="D17" s="24" t="s">
        <v>0</v>
      </c>
      <c r="E17" s="24" t="s">
        <v>437</v>
      </c>
      <c r="F17" s="17" t="s">
        <v>15</v>
      </c>
      <c r="G17" s="22">
        <v>80</v>
      </c>
      <c r="H17" s="16">
        <v>0.05</v>
      </c>
      <c r="I17" s="22">
        <f t="shared" si="4"/>
        <v>4</v>
      </c>
      <c r="J17" s="22">
        <f t="shared" si="5"/>
        <v>84</v>
      </c>
      <c r="K17" s="22">
        <f t="shared" si="0"/>
        <v>8</v>
      </c>
      <c r="L17" s="22">
        <f t="shared" si="0"/>
        <v>4.8</v>
      </c>
      <c r="M17" s="22">
        <f t="shared" si="0"/>
        <v>4.8</v>
      </c>
      <c r="N17" s="22">
        <f t="shared" si="0"/>
        <v>7.1999999999999993</v>
      </c>
      <c r="O17" s="22">
        <f t="shared" si="0"/>
        <v>8</v>
      </c>
      <c r="P17" s="22">
        <f t="shared" si="0"/>
        <v>12</v>
      </c>
      <c r="Q17" s="22">
        <f t="shared" si="0"/>
        <v>16</v>
      </c>
      <c r="R17" s="22">
        <f t="shared" si="0"/>
        <v>16</v>
      </c>
      <c r="S17" s="22">
        <f t="shared" si="0"/>
        <v>7.1999999999999993</v>
      </c>
      <c r="T17" s="22">
        <f t="shared" si="0"/>
        <v>7.1999999999999993</v>
      </c>
      <c r="U17" s="22">
        <f t="shared" si="0"/>
        <v>12</v>
      </c>
      <c r="V17" s="22">
        <f t="shared" si="0"/>
        <v>16</v>
      </c>
      <c r="W17" s="22">
        <f t="shared" si="0"/>
        <v>12</v>
      </c>
      <c r="X17" s="22">
        <f t="shared" si="0"/>
        <v>8</v>
      </c>
      <c r="Y17" s="22">
        <f t="shared" si="0"/>
        <v>4</v>
      </c>
      <c r="Z17" s="22">
        <f t="shared" si="0"/>
        <v>8</v>
      </c>
    </row>
    <row r="18" spans="1:26" x14ac:dyDescent="0.3">
      <c r="A18" s="22">
        <f t="shared" si="1"/>
        <v>220.5</v>
      </c>
      <c r="B18" s="22">
        <f t="shared" si="2"/>
        <v>44.1</v>
      </c>
      <c r="C18" s="22">
        <f t="shared" si="3"/>
        <v>176.4</v>
      </c>
      <c r="D18" s="24" t="s">
        <v>0</v>
      </c>
      <c r="E18" s="24" t="s">
        <v>437</v>
      </c>
      <c r="F18" s="17" t="s">
        <v>16</v>
      </c>
      <c r="G18" s="22">
        <v>60</v>
      </c>
      <c r="H18" s="16">
        <v>0.05</v>
      </c>
      <c r="I18" s="22">
        <f t="shared" si="4"/>
        <v>3</v>
      </c>
      <c r="J18" s="22">
        <f t="shared" si="5"/>
        <v>63</v>
      </c>
      <c r="K18" s="22">
        <f t="shared" si="0"/>
        <v>6</v>
      </c>
      <c r="L18" s="22">
        <f t="shared" si="0"/>
        <v>3.5999999999999996</v>
      </c>
      <c r="M18" s="22">
        <f t="shared" si="0"/>
        <v>3.5999999999999996</v>
      </c>
      <c r="N18" s="22">
        <f t="shared" si="0"/>
        <v>5.3999999999999995</v>
      </c>
      <c r="O18" s="22">
        <f t="shared" si="0"/>
        <v>6</v>
      </c>
      <c r="P18" s="22">
        <f t="shared" si="0"/>
        <v>9</v>
      </c>
      <c r="Q18" s="22">
        <f t="shared" si="0"/>
        <v>12</v>
      </c>
      <c r="R18" s="22">
        <f t="shared" si="0"/>
        <v>12</v>
      </c>
      <c r="S18" s="22">
        <f t="shared" si="0"/>
        <v>5.3999999999999995</v>
      </c>
      <c r="T18" s="22">
        <f t="shared" si="0"/>
        <v>5.3999999999999995</v>
      </c>
      <c r="U18" s="22">
        <f t="shared" si="0"/>
        <v>9</v>
      </c>
      <c r="V18" s="22">
        <f t="shared" si="0"/>
        <v>12</v>
      </c>
      <c r="W18" s="22">
        <f t="shared" si="0"/>
        <v>9</v>
      </c>
      <c r="X18" s="22">
        <f t="shared" si="0"/>
        <v>6</v>
      </c>
      <c r="Y18" s="22">
        <f t="shared" si="0"/>
        <v>3</v>
      </c>
      <c r="Z18" s="22">
        <f t="shared" ref="N18:Z46" si="6">$G18*Z$1</f>
        <v>6</v>
      </c>
    </row>
    <row r="19" spans="1:26" x14ac:dyDescent="0.3">
      <c r="A19" s="22">
        <f t="shared" si="1"/>
        <v>551.25</v>
      </c>
      <c r="B19" s="22">
        <f t="shared" si="2"/>
        <v>110.25</v>
      </c>
      <c r="C19" s="22">
        <f t="shared" si="3"/>
        <v>441</v>
      </c>
      <c r="D19" s="24" t="s">
        <v>0</v>
      </c>
      <c r="E19" s="24" t="s">
        <v>437</v>
      </c>
      <c r="F19" s="17" t="s">
        <v>17</v>
      </c>
      <c r="G19" s="22">
        <v>150</v>
      </c>
      <c r="H19" s="16">
        <v>0.05</v>
      </c>
      <c r="I19" s="22">
        <f t="shared" si="4"/>
        <v>7.5</v>
      </c>
      <c r="J19" s="22">
        <f t="shared" si="5"/>
        <v>157.5</v>
      </c>
      <c r="K19" s="22">
        <f t="shared" ref="K19:Z82" si="7">$G19*K$1</f>
        <v>15</v>
      </c>
      <c r="L19" s="22">
        <f t="shared" si="7"/>
        <v>9</v>
      </c>
      <c r="M19" s="22">
        <f t="shared" si="7"/>
        <v>9</v>
      </c>
      <c r="N19" s="22">
        <f t="shared" si="6"/>
        <v>13.5</v>
      </c>
      <c r="O19" s="22">
        <f t="shared" si="6"/>
        <v>15</v>
      </c>
      <c r="P19" s="22">
        <f t="shared" si="6"/>
        <v>22.5</v>
      </c>
      <c r="Q19" s="22">
        <f t="shared" si="6"/>
        <v>30</v>
      </c>
      <c r="R19" s="22">
        <f t="shared" si="6"/>
        <v>30</v>
      </c>
      <c r="S19" s="22">
        <f t="shared" si="6"/>
        <v>13.5</v>
      </c>
      <c r="T19" s="22">
        <f t="shared" si="6"/>
        <v>13.5</v>
      </c>
      <c r="U19" s="22">
        <f t="shared" si="6"/>
        <v>22.5</v>
      </c>
      <c r="V19" s="22">
        <f t="shared" si="6"/>
        <v>30</v>
      </c>
      <c r="W19" s="22">
        <f t="shared" si="6"/>
        <v>22.5</v>
      </c>
      <c r="X19" s="22">
        <f t="shared" si="6"/>
        <v>15</v>
      </c>
      <c r="Y19" s="22">
        <f t="shared" si="6"/>
        <v>7.5</v>
      </c>
      <c r="Z19" s="22">
        <f t="shared" si="6"/>
        <v>15</v>
      </c>
    </row>
    <row r="20" spans="1:26" x14ac:dyDescent="0.3">
      <c r="A20" s="22">
        <f t="shared" si="1"/>
        <v>23.887499999999999</v>
      </c>
      <c r="B20" s="22">
        <f t="shared" si="2"/>
        <v>4.7774999999999999</v>
      </c>
      <c r="C20" s="22">
        <f t="shared" si="3"/>
        <v>19.11</v>
      </c>
      <c r="D20" s="24" t="s">
        <v>0</v>
      </c>
      <c r="E20" s="24" t="s">
        <v>437</v>
      </c>
      <c r="F20" s="17" t="s">
        <v>18</v>
      </c>
      <c r="G20" s="22">
        <v>6.5</v>
      </c>
      <c r="H20" s="16">
        <v>0.05</v>
      </c>
      <c r="I20" s="22">
        <f t="shared" si="4"/>
        <v>0.32500000000000001</v>
      </c>
      <c r="J20" s="22">
        <f t="shared" si="5"/>
        <v>6.8250000000000002</v>
      </c>
      <c r="K20" s="22">
        <f t="shared" si="7"/>
        <v>0.65</v>
      </c>
      <c r="L20" s="22">
        <f t="shared" si="7"/>
        <v>0.39</v>
      </c>
      <c r="M20" s="22">
        <f t="shared" si="7"/>
        <v>0.39</v>
      </c>
      <c r="N20" s="22">
        <f t="shared" si="6"/>
        <v>0.58499999999999996</v>
      </c>
      <c r="O20" s="22">
        <f t="shared" si="6"/>
        <v>0.65</v>
      </c>
      <c r="P20" s="22">
        <f t="shared" si="6"/>
        <v>0.97499999999999998</v>
      </c>
      <c r="Q20" s="22">
        <f t="shared" si="6"/>
        <v>1.3</v>
      </c>
      <c r="R20" s="22">
        <f t="shared" si="6"/>
        <v>1.3</v>
      </c>
      <c r="S20" s="22">
        <f t="shared" si="6"/>
        <v>0.58499999999999996</v>
      </c>
      <c r="T20" s="22">
        <f t="shared" si="6"/>
        <v>0.58499999999999996</v>
      </c>
      <c r="U20" s="22">
        <f t="shared" si="6"/>
        <v>0.97499999999999998</v>
      </c>
      <c r="V20" s="22">
        <f t="shared" si="6"/>
        <v>1.3</v>
      </c>
      <c r="W20" s="22">
        <f t="shared" si="6"/>
        <v>0.97499999999999998</v>
      </c>
      <c r="X20" s="22">
        <f t="shared" si="6"/>
        <v>0.65</v>
      </c>
      <c r="Y20" s="22">
        <f t="shared" si="6"/>
        <v>0.32500000000000001</v>
      </c>
      <c r="Z20" s="22">
        <f t="shared" si="6"/>
        <v>0.65</v>
      </c>
    </row>
    <row r="21" spans="1:26" x14ac:dyDescent="0.3">
      <c r="A21" s="22">
        <f t="shared" si="1"/>
        <v>71.662500000000009</v>
      </c>
      <c r="B21" s="22">
        <f t="shared" si="2"/>
        <v>14.332500000000001</v>
      </c>
      <c r="C21" s="22">
        <f t="shared" si="3"/>
        <v>57.330000000000005</v>
      </c>
      <c r="D21" s="24" t="s">
        <v>0</v>
      </c>
      <c r="E21" s="24" t="s">
        <v>437</v>
      </c>
      <c r="F21" s="17" t="s">
        <v>19</v>
      </c>
      <c r="G21" s="22">
        <v>19.5</v>
      </c>
      <c r="H21" s="16">
        <v>0.05</v>
      </c>
      <c r="I21" s="22">
        <f t="shared" si="4"/>
        <v>0.97500000000000009</v>
      </c>
      <c r="J21" s="22">
        <f t="shared" si="5"/>
        <v>20.475000000000001</v>
      </c>
      <c r="K21" s="22">
        <f t="shared" si="7"/>
        <v>1.9500000000000002</v>
      </c>
      <c r="L21" s="22">
        <f t="shared" si="7"/>
        <v>1.17</v>
      </c>
      <c r="M21" s="22">
        <f t="shared" si="7"/>
        <v>1.17</v>
      </c>
      <c r="N21" s="22">
        <f t="shared" si="6"/>
        <v>1.7549999999999999</v>
      </c>
      <c r="O21" s="22">
        <f t="shared" si="6"/>
        <v>1.9500000000000002</v>
      </c>
      <c r="P21" s="22">
        <f t="shared" si="6"/>
        <v>2.9249999999999998</v>
      </c>
      <c r="Q21" s="22">
        <f t="shared" si="6"/>
        <v>3.9000000000000004</v>
      </c>
      <c r="R21" s="22">
        <f t="shared" si="6"/>
        <v>3.9000000000000004</v>
      </c>
      <c r="S21" s="22">
        <f t="shared" si="6"/>
        <v>1.7549999999999999</v>
      </c>
      <c r="T21" s="22">
        <f t="shared" si="6"/>
        <v>1.7549999999999999</v>
      </c>
      <c r="U21" s="22">
        <f t="shared" si="6"/>
        <v>2.9249999999999998</v>
      </c>
      <c r="V21" s="22">
        <f t="shared" si="6"/>
        <v>3.9000000000000004</v>
      </c>
      <c r="W21" s="22">
        <f t="shared" si="6"/>
        <v>2.9249999999999998</v>
      </c>
      <c r="X21" s="22">
        <f t="shared" si="6"/>
        <v>1.9500000000000002</v>
      </c>
      <c r="Y21" s="22">
        <f t="shared" si="6"/>
        <v>0.97500000000000009</v>
      </c>
      <c r="Z21" s="22">
        <f t="shared" si="6"/>
        <v>1.9500000000000002</v>
      </c>
    </row>
    <row r="22" spans="1:26" x14ac:dyDescent="0.3">
      <c r="A22" s="22">
        <f t="shared" si="1"/>
        <v>716.625</v>
      </c>
      <c r="B22" s="22">
        <f t="shared" si="2"/>
        <v>143.32499999999999</v>
      </c>
      <c r="C22" s="22">
        <f t="shared" si="3"/>
        <v>573.29999999999995</v>
      </c>
      <c r="D22" s="24" t="s">
        <v>0</v>
      </c>
      <c r="E22" s="24" t="s">
        <v>437</v>
      </c>
      <c r="F22" s="17" t="s">
        <v>20</v>
      </c>
      <c r="G22" s="22">
        <v>195</v>
      </c>
      <c r="H22" s="16">
        <v>0.05</v>
      </c>
      <c r="I22" s="22">
        <f t="shared" si="4"/>
        <v>9.75</v>
      </c>
      <c r="J22" s="22">
        <f t="shared" si="5"/>
        <v>204.75</v>
      </c>
      <c r="K22" s="22">
        <f t="shared" si="7"/>
        <v>19.5</v>
      </c>
      <c r="L22" s="22">
        <f t="shared" si="7"/>
        <v>11.7</v>
      </c>
      <c r="M22" s="22">
        <f t="shared" si="7"/>
        <v>11.7</v>
      </c>
      <c r="N22" s="22">
        <f t="shared" si="6"/>
        <v>17.55</v>
      </c>
      <c r="O22" s="22">
        <f t="shared" si="6"/>
        <v>19.5</v>
      </c>
      <c r="P22" s="22">
        <f t="shared" si="6"/>
        <v>29.25</v>
      </c>
      <c r="Q22" s="22">
        <f t="shared" si="6"/>
        <v>39</v>
      </c>
      <c r="R22" s="22">
        <f t="shared" si="6"/>
        <v>39</v>
      </c>
      <c r="S22" s="22">
        <f t="shared" si="6"/>
        <v>17.55</v>
      </c>
      <c r="T22" s="22">
        <f t="shared" si="6"/>
        <v>17.55</v>
      </c>
      <c r="U22" s="22">
        <f t="shared" si="6"/>
        <v>29.25</v>
      </c>
      <c r="V22" s="22">
        <f t="shared" si="6"/>
        <v>39</v>
      </c>
      <c r="W22" s="22">
        <f t="shared" si="6"/>
        <v>29.25</v>
      </c>
      <c r="X22" s="22">
        <f t="shared" si="6"/>
        <v>19.5</v>
      </c>
      <c r="Y22" s="22">
        <f t="shared" si="6"/>
        <v>9.75</v>
      </c>
      <c r="Z22" s="22">
        <f t="shared" si="6"/>
        <v>19.5</v>
      </c>
    </row>
    <row r="23" spans="1:26" x14ac:dyDescent="0.3">
      <c r="A23" s="22">
        <f t="shared" si="1"/>
        <v>63.945</v>
      </c>
      <c r="B23" s="22">
        <f t="shared" si="2"/>
        <v>12.789</v>
      </c>
      <c r="C23" s="22">
        <f t="shared" si="3"/>
        <v>51.155999999999999</v>
      </c>
      <c r="D23" s="24" t="s">
        <v>0</v>
      </c>
      <c r="E23" s="24" t="s">
        <v>437</v>
      </c>
      <c r="F23" s="17" t="s">
        <v>21</v>
      </c>
      <c r="G23" s="22">
        <v>17.399999999999999</v>
      </c>
      <c r="H23" s="16">
        <v>0.05</v>
      </c>
      <c r="I23" s="22">
        <f t="shared" si="4"/>
        <v>0.87</v>
      </c>
      <c r="J23" s="22">
        <f t="shared" si="5"/>
        <v>18.27</v>
      </c>
      <c r="K23" s="22">
        <f t="shared" si="7"/>
        <v>1.74</v>
      </c>
      <c r="L23" s="22">
        <f t="shared" si="7"/>
        <v>1.0439999999999998</v>
      </c>
      <c r="M23" s="22">
        <f t="shared" si="7"/>
        <v>1.0439999999999998</v>
      </c>
      <c r="N23" s="22">
        <f t="shared" si="6"/>
        <v>1.5659999999999998</v>
      </c>
      <c r="O23" s="22">
        <f t="shared" si="6"/>
        <v>1.74</v>
      </c>
      <c r="P23" s="22">
        <f t="shared" si="6"/>
        <v>2.61</v>
      </c>
      <c r="Q23" s="22">
        <f t="shared" si="6"/>
        <v>3.48</v>
      </c>
      <c r="R23" s="22">
        <f t="shared" si="6"/>
        <v>3.48</v>
      </c>
      <c r="S23" s="22">
        <f t="shared" si="6"/>
        <v>1.5659999999999998</v>
      </c>
      <c r="T23" s="22">
        <f t="shared" si="6"/>
        <v>1.5659999999999998</v>
      </c>
      <c r="U23" s="22">
        <f t="shared" si="6"/>
        <v>2.61</v>
      </c>
      <c r="V23" s="22">
        <f t="shared" si="6"/>
        <v>3.48</v>
      </c>
      <c r="W23" s="22">
        <f t="shared" si="6"/>
        <v>2.61</v>
      </c>
      <c r="X23" s="22">
        <f t="shared" si="6"/>
        <v>1.74</v>
      </c>
      <c r="Y23" s="22">
        <f t="shared" si="6"/>
        <v>0.87</v>
      </c>
      <c r="Z23" s="22">
        <f t="shared" si="6"/>
        <v>1.74</v>
      </c>
    </row>
    <row r="24" spans="1:26" x14ac:dyDescent="0.3">
      <c r="A24" s="22">
        <f t="shared" si="1"/>
        <v>639.45000000000005</v>
      </c>
      <c r="B24" s="22">
        <f t="shared" si="2"/>
        <v>127.89000000000001</v>
      </c>
      <c r="C24" s="22">
        <f t="shared" si="3"/>
        <v>511.56000000000006</v>
      </c>
      <c r="D24" s="24" t="s">
        <v>0</v>
      </c>
      <c r="E24" s="24" t="s">
        <v>437</v>
      </c>
      <c r="F24" s="17" t="s">
        <v>22</v>
      </c>
      <c r="G24" s="22">
        <v>174</v>
      </c>
      <c r="H24" s="16">
        <v>0.05</v>
      </c>
      <c r="I24" s="22">
        <f t="shared" si="4"/>
        <v>8.7000000000000011</v>
      </c>
      <c r="J24" s="22">
        <f t="shared" si="5"/>
        <v>182.7</v>
      </c>
      <c r="K24" s="22">
        <f t="shared" si="7"/>
        <v>17.400000000000002</v>
      </c>
      <c r="L24" s="22">
        <f t="shared" si="7"/>
        <v>10.44</v>
      </c>
      <c r="M24" s="22">
        <f t="shared" si="7"/>
        <v>10.44</v>
      </c>
      <c r="N24" s="22">
        <f t="shared" si="6"/>
        <v>15.66</v>
      </c>
      <c r="O24" s="22">
        <f t="shared" si="6"/>
        <v>17.400000000000002</v>
      </c>
      <c r="P24" s="22">
        <f t="shared" si="6"/>
        <v>26.099999999999998</v>
      </c>
      <c r="Q24" s="22">
        <f t="shared" si="6"/>
        <v>34.800000000000004</v>
      </c>
      <c r="R24" s="22">
        <f t="shared" si="6"/>
        <v>34.800000000000004</v>
      </c>
      <c r="S24" s="22">
        <f t="shared" si="6"/>
        <v>15.66</v>
      </c>
      <c r="T24" s="22">
        <f t="shared" si="6"/>
        <v>15.66</v>
      </c>
      <c r="U24" s="22">
        <f t="shared" si="6"/>
        <v>26.099999999999998</v>
      </c>
      <c r="V24" s="22">
        <f t="shared" si="6"/>
        <v>34.800000000000004</v>
      </c>
      <c r="W24" s="22">
        <f t="shared" si="6"/>
        <v>26.099999999999998</v>
      </c>
      <c r="X24" s="22">
        <f t="shared" si="6"/>
        <v>17.400000000000002</v>
      </c>
      <c r="Y24" s="22">
        <f t="shared" si="6"/>
        <v>8.7000000000000011</v>
      </c>
      <c r="Z24" s="22">
        <f t="shared" si="6"/>
        <v>17.400000000000002</v>
      </c>
    </row>
    <row r="25" spans="1:26" x14ac:dyDescent="0.3">
      <c r="A25" s="22">
        <f t="shared" si="1"/>
        <v>58.8</v>
      </c>
      <c r="B25" s="22">
        <f t="shared" si="2"/>
        <v>11.76</v>
      </c>
      <c r="C25" s="22">
        <f t="shared" si="3"/>
        <v>47.04</v>
      </c>
      <c r="D25" s="24" t="s">
        <v>0</v>
      </c>
      <c r="E25" s="24" t="s">
        <v>437</v>
      </c>
      <c r="F25" s="17" t="s">
        <v>23</v>
      </c>
      <c r="G25" s="22">
        <v>16</v>
      </c>
      <c r="H25" s="16">
        <v>0.05</v>
      </c>
      <c r="I25" s="22">
        <f t="shared" si="4"/>
        <v>0.8</v>
      </c>
      <c r="J25" s="22">
        <f t="shared" si="5"/>
        <v>16.8</v>
      </c>
      <c r="K25" s="22">
        <f t="shared" si="7"/>
        <v>1.6</v>
      </c>
      <c r="L25" s="22">
        <f t="shared" si="7"/>
        <v>0.96</v>
      </c>
      <c r="M25" s="22">
        <f t="shared" si="7"/>
        <v>0.96</v>
      </c>
      <c r="N25" s="22">
        <f t="shared" si="6"/>
        <v>1.44</v>
      </c>
      <c r="O25" s="22">
        <f t="shared" si="6"/>
        <v>1.6</v>
      </c>
      <c r="P25" s="22">
        <f t="shared" si="6"/>
        <v>2.4</v>
      </c>
      <c r="Q25" s="22">
        <f t="shared" si="6"/>
        <v>3.2</v>
      </c>
      <c r="R25" s="22">
        <f t="shared" si="6"/>
        <v>3.2</v>
      </c>
      <c r="S25" s="22">
        <f t="shared" si="6"/>
        <v>1.44</v>
      </c>
      <c r="T25" s="22">
        <f t="shared" si="6"/>
        <v>1.44</v>
      </c>
      <c r="U25" s="22">
        <f t="shared" si="6"/>
        <v>2.4</v>
      </c>
      <c r="V25" s="22">
        <f t="shared" si="6"/>
        <v>3.2</v>
      </c>
      <c r="W25" s="22">
        <f t="shared" si="6"/>
        <v>2.4</v>
      </c>
      <c r="X25" s="22">
        <f t="shared" si="6"/>
        <v>1.6</v>
      </c>
      <c r="Y25" s="22">
        <f t="shared" si="6"/>
        <v>0.8</v>
      </c>
      <c r="Z25" s="22">
        <f t="shared" si="6"/>
        <v>1.6</v>
      </c>
    </row>
    <row r="26" spans="1:26" x14ac:dyDescent="0.3">
      <c r="A26" s="22">
        <f t="shared" si="1"/>
        <v>294</v>
      </c>
      <c r="B26" s="22">
        <f t="shared" si="2"/>
        <v>58.8</v>
      </c>
      <c r="C26" s="22">
        <f t="shared" si="3"/>
        <v>235.2</v>
      </c>
      <c r="D26" s="24" t="s">
        <v>0</v>
      </c>
      <c r="E26" s="24" t="s">
        <v>437</v>
      </c>
      <c r="F26" s="17" t="s">
        <v>24</v>
      </c>
      <c r="G26" s="22">
        <v>80</v>
      </c>
      <c r="H26" s="16">
        <v>0.05</v>
      </c>
      <c r="I26" s="22">
        <f t="shared" si="4"/>
        <v>4</v>
      </c>
      <c r="J26" s="22">
        <f t="shared" si="5"/>
        <v>84</v>
      </c>
      <c r="K26" s="22">
        <f t="shared" si="7"/>
        <v>8</v>
      </c>
      <c r="L26" s="22">
        <f t="shared" si="7"/>
        <v>4.8</v>
      </c>
      <c r="M26" s="22">
        <f t="shared" si="7"/>
        <v>4.8</v>
      </c>
      <c r="N26" s="22">
        <f t="shared" si="6"/>
        <v>7.1999999999999993</v>
      </c>
      <c r="O26" s="22">
        <f t="shared" si="6"/>
        <v>8</v>
      </c>
      <c r="P26" s="22">
        <f t="shared" si="6"/>
        <v>12</v>
      </c>
      <c r="Q26" s="22">
        <f t="shared" si="6"/>
        <v>16</v>
      </c>
      <c r="R26" s="22">
        <f t="shared" si="6"/>
        <v>16</v>
      </c>
      <c r="S26" s="22">
        <f t="shared" si="6"/>
        <v>7.1999999999999993</v>
      </c>
      <c r="T26" s="22">
        <f t="shared" si="6"/>
        <v>7.1999999999999993</v>
      </c>
      <c r="U26" s="22">
        <f t="shared" si="6"/>
        <v>12</v>
      </c>
      <c r="V26" s="22">
        <f t="shared" si="6"/>
        <v>16</v>
      </c>
      <c r="W26" s="22">
        <f t="shared" si="6"/>
        <v>12</v>
      </c>
      <c r="X26" s="22">
        <f t="shared" si="6"/>
        <v>8</v>
      </c>
      <c r="Y26" s="22">
        <f t="shared" si="6"/>
        <v>4</v>
      </c>
      <c r="Z26" s="22">
        <f t="shared" si="6"/>
        <v>8</v>
      </c>
    </row>
    <row r="27" spans="1:26" x14ac:dyDescent="0.3">
      <c r="A27" s="22">
        <f t="shared" si="1"/>
        <v>1764</v>
      </c>
      <c r="B27" s="22">
        <f t="shared" si="2"/>
        <v>352.8</v>
      </c>
      <c r="C27" s="22">
        <f t="shared" si="3"/>
        <v>1411.2</v>
      </c>
      <c r="D27" s="24" t="s">
        <v>0</v>
      </c>
      <c r="E27" s="24" t="s">
        <v>437</v>
      </c>
      <c r="F27" s="17" t="s">
        <v>25</v>
      </c>
      <c r="G27" s="22">
        <v>480</v>
      </c>
      <c r="H27" s="16">
        <v>0.05</v>
      </c>
      <c r="I27" s="22">
        <f t="shared" si="4"/>
        <v>24</v>
      </c>
      <c r="J27" s="22">
        <f t="shared" si="5"/>
        <v>504</v>
      </c>
      <c r="K27" s="22">
        <f t="shared" si="7"/>
        <v>48</v>
      </c>
      <c r="L27" s="22">
        <f t="shared" si="7"/>
        <v>28.799999999999997</v>
      </c>
      <c r="M27" s="22">
        <f t="shared" si="7"/>
        <v>28.799999999999997</v>
      </c>
      <c r="N27" s="22">
        <f t="shared" si="6"/>
        <v>43.199999999999996</v>
      </c>
      <c r="O27" s="22">
        <f t="shared" si="6"/>
        <v>48</v>
      </c>
      <c r="P27" s="22">
        <f t="shared" si="6"/>
        <v>72</v>
      </c>
      <c r="Q27" s="22">
        <f t="shared" si="6"/>
        <v>96</v>
      </c>
      <c r="R27" s="22">
        <f t="shared" si="6"/>
        <v>96</v>
      </c>
      <c r="S27" s="22">
        <f t="shared" si="6"/>
        <v>43.199999999999996</v>
      </c>
      <c r="T27" s="22">
        <f t="shared" si="6"/>
        <v>43.199999999999996</v>
      </c>
      <c r="U27" s="22">
        <f t="shared" si="6"/>
        <v>72</v>
      </c>
      <c r="V27" s="22">
        <f t="shared" si="6"/>
        <v>96</v>
      </c>
      <c r="W27" s="22">
        <f t="shared" si="6"/>
        <v>72</v>
      </c>
      <c r="X27" s="22">
        <f t="shared" si="6"/>
        <v>48</v>
      </c>
      <c r="Y27" s="22">
        <f t="shared" si="6"/>
        <v>24</v>
      </c>
      <c r="Z27" s="22">
        <f t="shared" si="6"/>
        <v>48</v>
      </c>
    </row>
    <row r="28" spans="1:26" x14ac:dyDescent="0.3">
      <c r="A28" s="22">
        <f t="shared" si="1"/>
        <v>367.5</v>
      </c>
      <c r="B28" s="22">
        <f t="shared" si="2"/>
        <v>73.5</v>
      </c>
      <c r="C28" s="22">
        <f t="shared" si="3"/>
        <v>294</v>
      </c>
      <c r="D28" s="24" t="s">
        <v>0</v>
      </c>
      <c r="E28" s="24" t="s">
        <v>437</v>
      </c>
      <c r="F28" s="17" t="s">
        <v>26</v>
      </c>
      <c r="G28" s="22">
        <v>100</v>
      </c>
      <c r="H28" s="16">
        <v>0.05</v>
      </c>
      <c r="I28" s="22">
        <f t="shared" si="4"/>
        <v>5</v>
      </c>
      <c r="J28" s="22">
        <f t="shared" si="5"/>
        <v>105</v>
      </c>
      <c r="K28" s="22">
        <f t="shared" si="7"/>
        <v>10</v>
      </c>
      <c r="L28" s="22">
        <f t="shared" si="7"/>
        <v>6</v>
      </c>
      <c r="M28" s="22">
        <f t="shared" si="7"/>
        <v>6</v>
      </c>
      <c r="N28" s="22">
        <f t="shared" si="6"/>
        <v>9</v>
      </c>
      <c r="O28" s="22">
        <f t="shared" si="6"/>
        <v>10</v>
      </c>
      <c r="P28" s="22">
        <f t="shared" si="6"/>
        <v>15</v>
      </c>
      <c r="Q28" s="22">
        <f t="shared" si="6"/>
        <v>20</v>
      </c>
      <c r="R28" s="22">
        <f t="shared" si="6"/>
        <v>20</v>
      </c>
      <c r="S28" s="22">
        <f t="shared" si="6"/>
        <v>9</v>
      </c>
      <c r="T28" s="22">
        <f t="shared" si="6"/>
        <v>9</v>
      </c>
      <c r="U28" s="22">
        <f t="shared" si="6"/>
        <v>15</v>
      </c>
      <c r="V28" s="22">
        <f t="shared" si="6"/>
        <v>20</v>
      </c>
      <c r="W28" s="22">
        <f t="shared" si="6"/>
        <v>15</v>
      </c>
      <c r="X28" s="22">
        <f t="shared" si="6"/>
        <v>10</v>
      </c>
      <c r="Y28" s="22">
        <f t="shared" si="6"/>
        <v>5</v>
      </c>
      <c r="Z28" s="22">
        <f t="shared" si="6"/>
        <v>10</v>
      </c>
    </row>
    <row r="29" spans="1:26" x14ac:dyDescent="0.3">
      <c r="A29" s="22">
        <f t="shared" si="1"/>
        <v>367.5</v>
      </c>
      <c r="B29" s="22">
        <f t="shared" si="2"/>
        <v>73.5</v>
      </c>
      <c r="C29" s="22">
        <f t="shared" si="3"/>
        <v>294</v>
      </c>
      <c r="D29" s="24" t="s">
        <v>0</v>
      </c>
      <c r="E29" s="24" t="s">
        <v>437</v>
      </c>
      <c r="F29" s="17" t="s">
        <v>27</v>
      </c>
      <c r="G29" s="22">
        <v>100</v>
      </c>
      <c r="H29" s="16">
        <v>0.05</v>
      </c>
      <c r="I29" s="22">
        <f t="shared" si="4"/>
        <v>5</v>
      </c>
      <c r="J29" s="22">
        <f t="shared" si="5"/>
        <v>105</v>
      </c>
      <c r="K29" s="22">
        <f t="shared" si="7"/>
        <v>10</v>
      </c>
      <c r="L29" s="22">
        <f t="shared" si="7"/>
        <v>6</v>
      </c>
      <c r="M29" s="22">
        <f t="shared" si="7"/>
        <v>6</v>
      </c>
      <c r="N29" s="22">
        <f t="shared" si="6"/>
        <v>9</v>
      </c>
      <c r="O29" s="22">
        <f t="shared" si="6"/>
        <v>10</v>
      </c>
      <c r="P29" s="22">
        <f t="shared" si="6"/>
        <v>15</v>
      </c>
      <c r="Q29" s="22">
        <f t="shared" si="6"/>
        <v>20</v>
      </c>
      <c r="R29" s="22">
        <f t="shared" si="6"/>
        <v>20</v>
      </c>
      <c r="S29" s="22">
        <f t="shared" si="6"/>
        <v>9</v>
      </c>
      <c r="T29" s="22">
        <f t="shared" si="6"/>
        <v>9</v>
      </c>
      <c r="U29" s="22">
        <f t="shared" si="6"/>
        <v>15</v>
      </c>
      <c r="V29" s="22">
        <f t="shared" si="6"/>
        <v>20</v>
      </c>
      <c r="W29" s="22">
        <f t="shared" si="6"/>
        <v>15</v>
      </c>
      <c r="X29" s="22">
        <f t="shared" si="6"/>
        <v>10</v>
      </c>
      <c r="Y29" s="22">
        <f t="shared" si="6"/>
        <v>5</v>
      </c>
      <c r="Z29" s="22">
        <f t="shared" si="6"/>
        <v>10</v>
      </c>
    </row>
    <row r="30" spans="1:26" x14ac:dyDescent="0.3">
      <c r="A30" s="22">
        <f t="shared" si="1"/>
        <v>202.125</v>
      </c>
      <c r="B30" s="22">
        <f t="shared" si="2"/>
        <v>40.424999999999997</v>
      </c>
      <c r="C30" s="22">
        <f t="shared" si="3"/>
        <v>161.69999999999999</v>
      </c>
      <c r="D30" s="24" t="s">
        <v>0</v>
      </c>
      <c r="E30" s="24" t="s">
        <v>437</v>
      </c>
      <c r="F30" s="17" t="s">
        <v>28</v>
      </c>
      <c r="G30" s="22">
        <v>55</v>
      </c>
      <c r="H30" s="16">
        <v>0.05</v>
      </c>
      <c r="I30" s="22">
        <f t="shared" si="4"/>
        <v>2.75</v>
      </c>
      <c r="J30" s="22">
        <f t="shared" si="5"/>
        <v>57.75</v>
      </c>
      <c r="K30" s="22">
        <f t="shared" si="7"/>
        <v>5.5</v>
      </c>
      <c r="L30" s="22">
        <f t="shared" si="7"/>
        <v>3.3</v>
      </c>
      <c r="M30" s="22">
        <f t="shared" si="7"/>
        <v>3.3</v>
      </c>
      <c r="N30" s="22">
        <f t="shared" si="6"/>
        <v>4.95</v>
      </c>
      <c r="O30" s="22">
        <f t="shared" si="6"/>
        <v>5.5</v>
      </c>
      <c r="P30" s="22">
        <f t="shared" si="6"/>
        <v>8.25</v>
      </c>
      <c r="Q30" s="22">
        <f t="shared" si="6"/>
        <v>11</v>
      </c>
      <c r="R30" s="22">
        <f t="shared" si="6"/>
        <v>11</v>
      </c>
      <c r="S30" s="22">
        <f t="shared" si="6"/>
        <v>4.95</v>
      </c>
      <c r="T30" s="22">
        <f t="shared" si="6"/>
        <v>4.95</v>
      </c>
      <c r="U30" s="22">
        <f t="shared" si="6"/>
        <v>8.25</v>
      </c>
      <c r="V30" s="22">
        <f t="shared" si="6"/>
        <v>11</v>
      </c>
      <c r="W30" s="22">
        <f t="shared" si="6"/>
        <v>8.25</v>
      </c>
      <c r="X30" s="22">
        <f t="shared" si="6"/>
        <v>5.5</v>
      </c>
      <c r="Y30" s="22">
        <f t="shared" si="6"/>
        <v>2.75</v>
      </c>
      <c r="Z30" s="22">
        <f t="shared" si="6"/>
        <v>5.5</v>
      </c>
    </row>
    <row r="31" spans="1:26" x14ac:dyDescent="0.3">
      <c r="A31" s="22">
        <f t="shared" si="1"/>
        <v>441</v>
      </c>
      <c r="B31" s="22">
        <f t="shared" si="2"/>
        <v>88.2</v>
      </c>
      <c r="C31" s="22">
        <f t="shared" si="3"/>
        <v>352.8</v>
      </c>
      <c r="D31" s="24" t="s">
        <v>0</v>
      </c>
      <c r="E31" s="24" t="s">
        <v>437</v>
      </c>
      <c r="F31" s="17" t="s">
        <v>29</v>
      </c>
      <c r="G31" s="22">
        <v>120</v>
      </c>
      <c r="H31" s="16">
        <v>0.05</v>
      </c>
      <c r="I31" s="22">
        <f t="shared" si="4"/>
        <v>6</v>
      </c>
      <c r="J31" s="22">
        <f t="shared" si="5"/>
        <v>126</v>
      </c>
      <c r="K31" s="22">
        <f t="shared" si="7"/>
        <v>12</v>
      </c>
      <c r="L31" s="22">
        <f t="shared" si="7"/>
        <v>7.1999999999999993</v>
      </c>
      <c r="M31" s="22">
        <f t="shared" si="7"/>
        <v>7.1999999999999993</v>
      </c>
      <c r="N31" s="22">
        <f t="shared" si="6"/>
        <v>10.799999999999999</v>
      </c>
      <c r="O31" s="22">
        <f t="shared" si="6"/>
        <v>12</v>
      </c>
      <c r="P31" s="22">
        <f t="shared" si="6"/>
        <v>18</v>
      </c>
      <c r="Q31" s="22">
        <f t="shared" si="6"/>
        <v>24</v>
      </c>
      <c r="R31" s="22">
        <f t="shared" si="6"/>
        <v>24</v>
      </c>
      <c r="S31" s="22">
        <f t="shared" si="6"/>
        <v>10.799999999999999</v>
      </c>
      <c r="T31" s="22">
        <f t="shared" si="6"/>
        <v>10.799999999999999</v>
      </c>
      <c r="U31" s="22">
        <f t="shared" si="6"/>
        <v>18</v>
      </c>
      <c r="V31" s="22">
        <f t="shared" si="6"/>
        <v>24</v>
      </c>
      <c r="W31" s="22">
        <f t="shared" si="6"/>
        <v>18</v>
      </c>
      <c r="X31" s="22">
        <f t="shared" si="6"/>
        <v>12</v>
      </c>
      <c r="Y31" s="22">
        <f t="shared" si="6"/>
        <v>6</v>
      </c>
      <c r="Z31" s="22">
        <f t="shared" si="6"/>
        <v>12</v>
      </c>
    </row>
    <row r="32" spans="1:26" x14ac:dyDescent="0.3">
      <c r="A32" s="22">
        <f t="shared" si="1"/>
        <v>294</v>
      </c>
      <c r="B32" s="22">
        <f t="shared" si="2"/>
        <v>58.8</v>
      </c>
      <c r="C32" s="22">
        <f t="shared" si="3"/>
        <v>235.2</v>
      </c>
      <c r="D32" s="24" t="s">
        <v>0</v>
      </c>
      <c r="E32" s="24" t="s">
        <v>437</v>
      </c>
      <c r="F32" s="17" t="s">
        <v>30</v>
      </c>
      <c r="G32" s="22">
        <v>80</v>
      </c>
      <c r="H32" s="16">
        <v>0.05</v>
      </c>
      <c r="I32" s="22">
        <f t="shared" si="4"/>
        <v>4</v>
      </c>
      <c r="J32" s="22">
        <f t="shared" si="5"/>
        <v>84</v>
      </c>
      <c r="K32" s="22">
        <f t="shared" si="7"/>
        <v>8</v>
      </c>
      <c r="L32" s="22">
        <f t="shared" si="7"/>
        <v>4.8</v>
      </c>
      <c r="M32" s="22">
        <f t="shared" si="7"/>
        <v>4.8</v>
      </c>
      <c r="N32" s="22">
        <f t="shared" si="6"/>
        <v>7.1999999999999993</v>
      </c>
      <c r="O32" s="22">
        <f t="shared" si="6"/>
        <v>8</v>
      </c>
      <c r="P32" s="22">
        <f t="shared" si="6"/>
        <v>12</v>
      </c>
      <c r="Q32" s="22">
        <f t="shared" si="6"/>
        <v>16</v>
      </c>
      <c r="R32" s="22">
        <f t="shared" si="6"/>
        <v>16</v>
      </c>
      <c r="S32" s="22">
        <f t="shared" si="6"/>
        <v>7.1999999999999993</v>
      </c>
      <c r="T32" s="22">
        <f t="shared" si="6"/>
        <v>7.1999999999999993</v>
      </c>
      <c r="U32" s="22">
        <f t="shared" si="6"/>
        <v>12</v>
      </c>
      <c r="V32" s="22">
        <f t="shared" si="6"/>
        <v>16</v>
      </c>
      <c r="W32" s="22">
        <f t="shared" si="6"/>
        <v>12</v>
      </c>
      <c r="X32" s="22">
        <f t="shared" si="6"/>
        <v>8</v>
      </c>
      <c r="Y32" s="22">
        <f t="shared" si="6"/>
        <v>4</v>
      </c>
      <c r="Z32" s="22">
        <f t="shared" si="6"/>
        <v>8</v>
      </c>
    </row>
    <row r="33" spans="1:26" x14ac:dyDescent="0.3">
      <c r="A33" s="22">
        <f t="shared" si="1"/>
        <v>1286.25</v>
      </c>
      <c r="B33" s="22">
        <f t="shared" si="2"/>
        <v>257.25</v>
      </c>
      <c r="C33" s="22">
        <f t="shared" si="3"/>
        <v>1029</v>
      </c>
      <c r="D33" s="24" t="s">
        <v>0</v>
      </c>
      <c r="E33" s="24" t="s">
        <v>437</v>
      </c>
      <c r="F33" s="17" t="s">
        <v>31</v>
      </c>
      <c r="G33" s="22">
        <v>350</v>
      </c>
      <c r="H33" s="16">
        <v>0.05</v>
      </c>
      <c r="I33" s="22">
        <f t="shared" si="4"/>
        <v>17.5</v>
      </c>
      <c r="J33" s="22">
        <f t="shared" si="5"/>
        <v>367.5</v>
      </c>
      <c r="K33" s="22">
        <f t="shared" si="7"/>
        <v>35</v>
      </c>
      <c r="L33" s="22">
        <f t="shared" si="7"/>
        <v>21</v>
      </c>
      <c r="M33" s="22">
        <f t="shared" si="7"/>
        <v>21</v>
      </c>
      <c r="N33" s="22">
        <f t="shared" si="6"/>
        <v>31.5</v>
      </c>
      <c r="O33" s="22">
        <f t="shared" si="6"/>
        <v>35</v>
      </c>
      <c r="P33" s="22">
        <f t="shared" si="6"/>
        <v>52.5</v>
      </c>
      <c r="Q33" s="22">
        <f t="shared" si="6"/>
        <v>70</v>
      </c>
      <c r="R33" s="22">
        <f t="shared" si="6"/>
        <v>70</v>
      </c>
      <c r="S33" s="22">
        <f t="shared" si="6"/>
        <v>31.5</v>
      </c>
      <c r="T33" s="22">
        <f t="shared" si="6"/>
        <v>31.5</v>
      </c>
      <c r="U33" s="22">
        <f t="shared" si="6"/>
        <v>52.5</v>
      </c>
      <c r="V33" s="22">
        <f t="shared" si="6"/>
        <v>70</v>
      </c>
      <c r="W33" s="22">
        <f t="shared" si="6"/>
        <v>52.5</v>
      </c>
      <c r="X33" s="22">
        <f t="shared" si="6"/>
        <v>35</v>
      </c>
      <c r="Y33" s="22">
        <f t="shared" si="6"/>
        <v>17.5</v>
      </c>
      <c r="Z33" s="22">
        <f t="shared" si="6"/>
        <v>35</v>
      </c>
    </row>
    <row r="34" spans="1:26" x14ac:dyDescent="0.3">
      <c r="A34" s="22">
        <f t="shared" si="1"/>
        <v>312.375</v>
      </c>
      <c r="B34" s="22">
        <f t="shared" si="2"/>
        <v>62.475000000000001</v>
      </c>
      <c r="C34" s="22">
        <f t="shared" si="3"/>
        <v>249.9</v>
      </c>
      <c r="D34" s="24" t="s">
        <v>0</v>
      </c>
      <c r="E34" s="24" t="s">
        <v>437</v>
      </c>
      <c r="F34" s="17" t="s">
        <v>32</v>
      </c>
      <c r="G34" s="22">
        <v>85</v>
      </c>
      <c r="H34" s="16">
        <v>0.05</v>
      </c>
      <c r="I34" s="22">
        <f t="shared" si="4"/>
        <v>4.25</v>
      </c>
      <c r="J34" s="22">
        <f t="shared" si="5"/>
        <v>89.25</v>
      </c>
      <c r="K34" s="22">
        <f t="shared" si="7"/>
        <v>8.5</v>
      </c>
      <c r="L34" s="22">
        <f t="shared" si="7"/>
        <v>5.0999999999999996</v>
      </c>
      <c r="M34" s="22">
        <f t="shared" si="7"/>
        <v>5.0999999999999996</v>
      </c>
      <c r="N34" s="22">
        <f t="shared" si="6"/>
        <v>7.6499999999999995</v>
      </c>
      <c r="O34" s="22">
        <f t="shared" si="6"/>
        <v>8.5</v>
      </c>
      <c r="P34" s="22">
        <f t="shared" si="6"/>
        <v>12.75</v>
      </c>
      <c r="Q34" s="22">
        <f t="shared" si="6"/>
        <v>17</v>
      </c>
      <c r="R34" s="22">
        <f t="shared" si="6"/>
        <v>17</v>
      </c>
      <c r="S34" s="22">
        <f t="shared" si="6"/>
        <v>7.6499999999999995</v>
      </c>
      <c r="T34" s="22">
        <f t="shared" si="6"/>
        <v>7.6499999999999995</v>
      </c>
      <c r="U34" s="22">
        <f t="shared" si="6"/>
        <v>12.75</v>
      </c>
      <c r="V34" s="22">
        <f t="shared" si="6"/>
        <v>17</v>
      </c>
      <c r="W34" s="22">
        <f t="shared" si="6"/>
        <v>12.75</v>
      </c>
      <c r="X34" s="22">
        <f t="shared" si="6"/>
        <v>8.5</v>
      </c>
      <c r="Y34" s="22">
        <f t="shared" si="6"/>
        <v>4.25</v>
      </c>
      <c r="Z34" s="22">
        <f t="shared" si="6"/>
        <v>8.5</v>
      </c>
    </row>
    <row r="35" spans="1:26" x14ac:dyDescent="0.3">
      <c r="A35" s="22">
        <f t="shared" si="1"/>
        <v>191.1</v>
      </c>
      <c r="B35" s="22">
        <f t="shared" si="2"/>
        <v>38.22</v>
      </c>
      <c r="C35" s="22">
        <f t="shared" si="3"/>
        <v>152.88</v>
      </c>
      <c r="D35" s="24" t="s">
        <v>0</v>
      </c>
      <c r="E35" s="24" t="s">
        <v>437</v>
      </c>
      <c r="F35" s="17" t="s">
        <v>33</v>
      </c>
      <c r="G35" s="22">
        <v>52</v>
      </c>
      <c r="H35" s="16">
        <v>0.05</v>
      </c>
      <c r="I35" s="22">
        <f t="shared" si="4"/>
        <v>2.6</v>
      </c>
      <c r="J35" s="22">
        <f t="shared" si="5"/>
        <v>54.6</v>
      </c>
      <c r="K35" s="22">
        <f t="shared" si="7"/>
        <v>5.2</v>
      </c>
      <c r="L35" s="22">
        <f t="shared" si="7"/>
        <v>3.12</v>
      </c>
      <c r="M35" s="22">
        <f t="shared" si="7"/>
        <v>3.12</v>
      </c>
      <c r="N35" s="22">
        <f t="shared" si="6"/>
        <v>4.68</v>
      </c>
      <c r="O35" s="22">
        <f t="shared" si="6"/>
        <v>5.2</v>
      </c>
      <c r="P35" s="22">
        <f t="shared" si="6"/>
        <v>7.8</v>
      </c>
      <c r="Q35" s="22">
        <f t="shared" si="6"/>
        <v>10.4</v>
      </c>
      <c r="R35" s="22">
        <f t="shared" si="6"/>
        <v>10.4</v>
      </c>
      <c r="S35" s="22">
        <f t="shared" si="6"/>
        <v>4.68</v>
      </c>
      <c r="T35" s="22">
        <f t="shared" si="6"/>
        <v>4.68</v>
      </c>
      <c r="U35" s="22">
        <f t="shared" si="6"/>
        <v>7.8</v>
      </c>
      <c r="V35" s="22">
        <f t="shared" si="6"/>
        <v>10.4</v>
      </c>
      <c r="W35" s="22">
        <f t="shared" si="6"/>
        <v>7.8</v>
      </c>
      <c r="X35" s="22">
        <f t="shared" si="6"/>
        <v>5.2</v>
      </c>
      <c r="Y35" s="22">
        <f t="shared" si="6"/>
        <v>2.6</v>
      </c>
      <c r="Z35" s="22">
        <f t="shared" si="6"/>
        <v>5.2</v>
      </c>
    </row>
    <row r="36" spans="1:26" x14ac:dyDescent="0.3">
      <c r="A36" s="22">
        <f t="shared" si="1"/>
        <v>5733</v>
      </c>
      <c r="B36" s="22">
        <f t="shared" si="2"/>
        <v>1146.5999999999999</v>
      </c>
      <c r="C36" s="22">
        <f t="shared" si="3"/>
        <v>4586.3999999999996</v>
      </c>
      <c r="D36" s="24" t="s">
        <v>0</v>
      </c>
      <c r="E36" s="24" t="s">
        <v>437</v>
      </c>
      <c r="F36" s="17" t="s">
        <v>34</v>
      </c>
      <c r="G36" s="22">
        <v>1560</v>
      </c>
      <c r="H36" s="16">
        <v>0.05</v>
      </c>
      <c r="I36" s="22">
        <f t="shared" si="4"/>
        <v>78</v>
      </c>
      <c r="J36" s="22">
        <f t="shared" si="5"/>
        <v>1638</v>
      </c>
      <c r="K36" s="22">
        <f t="shared" si="7"/>
        <v>156</v>
      </c>
      <c r="L36" s="22">
        <f t="shared" si="7"/>
        <v>93.6</v>
      </c>
      <c r="M36" s="22">
        <f t="shared" si="7"/>
        <v>93.6</v>
      </c>
      <c r="N36" s="22">
        <f t="shared" si="6"/>
        <v>140.4</v>
      </c>
      <c r="O36" s="22">
        <f t="shared" si="6"/>
        <v>156</v>
      </c>
      <c r="P36" s="22">
        <f t="shared" si="6"/>
        <v>234</v>
      </c>
      <c r="Q36" s="22">
        <f t="shared" si="6"/>
        <v>312</v>
      </c>
      <c r="R36" s="22">
        <f t="shared" si="6"/>
        <v>312</v>
      </c>
      <c r="S36" s="22">
        <f t="shared" si="6"/>
        <v>140.4</v>
      </c>
      <c r="T36" s="22">
        <f t="shared" si="6"/>
        <v>140.4</v>
      </c>
      <c r="U36" s="22">
        <f t="shared" si="6"/>
        <v>234</v>
      </c>
      <c r="V36" s="22">
        <f t="shared" si="6"/>
        <v>312</v>
      </c>
      <c r="W36" s="22">
        <f t="shared" si="6"/>
        <v>234</v>
      </c>
      <c r="X36" s="22">
        <f t="shared" si="6"/>
        <v>156</v>
      </c>
      <c r="Y36" s="22">
        <f t="shared" si="6"/>
        <v>78</v>
      </c>
      <c r="Z36" s="22">
        <f t="shared" si="6"/>
        <v>156</v>
      </c>
    </row>
    <row r="37" spans="1:26" x14ac:dyDescent="0.3">
      <c r="A37" s="22">
        <f t="shared" si="1"/>
        <v>10.473750000000003</v>
      </c>
      <c r="B37" s="22">
        <f t="shared" si="2"/>
        <v>2.0947500000000003</v>
      </c>
      <c r="C37" s="22">
        <f t="shared" si="3"/>
        <v>8.3790000000000013</v>
      </c>
      <c r="D37" s="24" t="s">
        <v>0</v>
      </c>
      <c r="E37" s="24" t="s">
        <v>437</v>
      </c>
      <c r="F37" s="17" t="s">
        <v>35</v>
      </c>
      <c r="G37" s="22">
        <v>2.85</v>
      </c>
      <c r="H37" s="16">
        <v>0.05</v>
      </c>
      <c r="I37" s="22">
        <f t="shared" si="4"/>
        <v>0.14250000000000002</v>
      </c>
      <c r="J37" s="22">
        <f t="shared" si="5"/>
        <v>2.9925000000000002</v>
      </c>
      <c r="K37" s="22">
        <f t="shared" si="7"/>
        <v>0.28500000000000003</v>
      </c>
      <c r="L37" s="22">
        <f t="shared" si="7"/>
        <v>0.17099999999999999</v>
      </c>
      <c r="M37" s="22">
        <f t="shared" si="7"/>
        <v>0.17099999999999999</v>
      </c>
      <c r="N37" s="22">
        <f t="shared" si="6"/>
        <v>0.25650000000000001</v>
      </c>
      <c r="O37" s="22">
        <f t="shared" si="6"/>
        <v>0.28500000000000003</v>
      </c>
      <c r="P37" s="22">
        <f t="shared" si="6"/>
        <v>0.42749999999999999</v>
      </c>
      <c r="Q37" s="22">
        <f t="shared" si="6"/>
        <v>0.57000000000000006</v>
      </c>
      <c r="R37" s="22">
        <f t="shared" si="6"/>
        <v>0.57000000000000006</v>
      </c>
      <c r="S37" s="22">
        <f t="shared" si="6"/>
        <v>0.25650000000000001</v>
      </c>
      <c r="T37" s="22">
        <f t="shared" si="6"/>
        <v>0.25650000000000001</v>
      </c>
      <c r="U37" s="22">
        <f t="shared" si="6"/>
        <v>0.42749999999999999</v>
      </c>
      <c r="V37" s="22">
        <f t="shared" si="6"/>
        <v>0.57000000000000006</v>
      </c>
      <c r="W37" s="22">
        <f t="shared" si="6"/>
        <v>0.42749999999999999</v>
      </c>
      <c r="X37" s="22">
        <f t="shared" si="6"/>
        <v>0.28500000000000003</v>
      </c>
      <c r="Y37" s="22">
        <f t="shared" si="6"/>
        <v>0.14250000000000002</v>
      </c>
      <c r="Z37" s="22">
        <f t="shared" si="6"/>
        <v>0.28500000000000003</v>
      </c>
    </row>
    <row r="38" spans="1:26" x14ac:dyDescent="0.3">
      <c r="A38" s="22">
        <f t="shared" si="1"/>
        <v>52.368749999999991</v>
      </c>
      <c r="B38" s="22">
        <f t="shared" si="2"/>
        <v>10.473749999999999</v>
      </c>
      <c r="C38" s="22">
        <f t="shared" si="3"/>
        <v>41.894999999999996</v>
      </c>
      <c r="D38" s="24" t="s">
        <v>0</v>
      </c>
      <c r="E38" s="24" t="s">
        <v>437</v>
      </c>
      <c r="F38" s="17" t="s">
        <v>36</v>
      </c>
      <c r="G38" s="22">
        <v>14.25</v>
      </c>
      <c r="H38" s="16">
        <v>0.05</v>
      </c>
      <c r="I38" s="22">
        <f t="shared" si="4"/>
        <v>0.71250000000000002</v>
      </c>
      <c r="J38" s="22">
        <f t="shared" si="5"/>
        <v>14.9625</v>
      </c>
      <c r="K38" s="22">
        <f t="shared" si="7"/>
        <v>1.425</v>
      </c>
      <c r="L38" s="22">
        <f t="shared" si="7"/>
        <v>0.85499999999999998</v>
      </c>
      <c r="M38" s="22">
        <f t="shared" si="7"/>
        <v>0.85499999999999998</v>
      </c>
      <c r="N38" s="22">
        <f t="shared" si="6"/>
        <v>1.2825</v>
      </c>
      <c r="O38" s="22">
        <f t="shared" si="6"/>
        <v>1.425</v>
      </c>
      <c r="P38" s="22">
        <f t="shared" si="6"/>
        <v>2.1374999999999997</v>
      </c>
      <c r="Q38" s="22">
        <f t="shared" si="6"/>
        <v>2.85</v>
      </c>
      <c r="R38" s="22">
        <f t="shared" si="6"/>
        <v>2.85</v>
      </c>
      <c r="S38" s="22">
        <f t="shared" si="6"/>
        <v>1.2825</v>
      </c>
      <c r="T38" s="22">
        <f t="shared" si="6"/>
        <v>1.2825</v>
      </c>
      <c r="U38" s="22">
        <f t="shared" ref="N38:Z58" si="8">$G38*U$1</f>
        <v>2.1374999999999997</v>
      </c>
      <c r="V38" s="22">
        <f t="shared" si="8"/>
        <v>2.85</v>
      </c>
      <c r="W38" s="22">
        <f t="shared" si="8"/>
        <v>2.1374999999999997</v>
      </c>
      <c r="X38" s="22">
        <f t="shared" si="8"/>
        <v>1.425</v>
      </c>
      <c r="Y38" s="22">
        <f t="shared" si="8"/>
        <v>0.71250000000000002</v>
      </c>
      <c r="Z38" s="22">
        <f t="shared" si="8"/>
        <v>1.425</v>
      </c>
    </row>
    <row r="39" spans="1:26" x14ac:dyDescent="0.3">
      <c r="A39" s="22">
        <f t="shared" si="1"/>
        <v>523.6875</v>
      </c>
      <c r="B39" s="22">
        <f t="shared" si="2"/>
        <v>104.7375</v>
      </c>
      <c r="C39" s="22">
        <f t="shared" si="3"/>
        <v>418.95</v>
      </c>
      <c r="D39" s="24" t="s">
        <v>0</v>
      </c>
      <c r="E39" s="24" t="s">
        <v>437</v>
      </c>
      <c r="F39" s="17" t="s">
        <v>37</v>
      </c>
      <c r="G39" s="22">
        <v>142.5</v>
      </c>
      <c r="H39" s="16">
        <v>0.05</v>
      </c>
      <c r="I39" s="22">
        <f t="shared" si="4"/>
        <v>7.125</v>
      </c>
      <c r="J39" s="22">
        <f t="shared" si="5"/>
        <v>149.625</v>
      </c>
      <c r="K39" s="22">
        <f t="shared" si="7"/>
        <v>14.25</v>
      </c>
      <c r="L39" s="22">
        <f t="shared" si="7"/>
        <v>8.5499999999999989</v>
      </c>
      <c r="M39" s="22">
        <f t="shared" si="7"/>
        <v>8.5499999999999989</v>
      </c>
      <c r="N39" s="22">
        <f t="shared" si="8"/>
        <v>12.824999999999999</v>
      </c>
      <c r="O39" s="22">
        <f t="shared" si="8"/>
        <v>14.25</v>
      </c>
      <c r="P39" s="22">
        <f t="shared" si="8"/>
        <v>21.375</v>
      </c>
      <c r="Q39" s="22">
        <f t="shared" si="8"/>
        <v>28.5</v>
      </c>
      <c r="R39" s="22">
        <f t="shared" si="8"/>
        <v>28.5</v>
      </c>
      <c r="S39" s="22">
        <f t="shared" si="8"/>
        <v>12.824999999999999</v>
      </c>
      <c r="T39" s="22">
        <f t="shared" si="8"/>
        <v>12.824999999999999</v>
      </c>
      <c r="U39" s="22">
        <f t="shared" si="8"/>
        <v>21.375</v>
      </c>
      <c r="V39" s="22">
        <f t="shared" si="8"/>
        <v>28.5</v>
      </c>
      <c r="W39" s="22">
        <f t="shared" si="8"/>
        <v>21.375</v>
      </c>
      <c r="X39" s="22">
        <f t="shared" si="8"/>
        <v>14.25</v>
      </c>
      <c r="Y39" s="22">
        <f t="shared" si="8"/>
        <v>7.125</v>
      </c>
      <c r="Z39" s="22">
        <f t="shared" si="8"/>
        <v>14.25</v>
      </c>
    </row>
    <row r="40" spans="1:26" x14ac:dyDescent="0.3">
      <c r="A40" s="22">
        <f t="shared" si="1"/>
        <v>606.375</v>
      </c>
      <c r="B40" s="22">
        <f t="shared" si="2"/>
        <v>121.27500000000001</v>
      </c>
      <c r="C40" s="22">
        <f t="shared" si="3"/>
        <v>485.1</v>
      </c>
      <c r="D40" s="24" t="s">
        <v>0</v>
      </c>
      <c r="E40" s="24" t="s">
        <v>437</v>
      </c>
      <c r="F40" s="17" t="s">
        <v>38</v>
      </c>
      <c r="G40" s="22">
        <v>165</v>
      </c>
      <c r="H40" s="16">
        <v>0.05</v>
      </c>
      <c r="I40" s="22">
        <f t="shared" si="4"/>
        <v>8.25</v>
      </c>
      <c r="J40" s="22">
        <f t="shared" si="5"/>
        <v>173.25</v>
      </c>
      <c r="K40" s="22">
        <f t="shared" si="7"/>
        <v>16.5</v>
      </c>
      <c r="L40" s="22">
        <f t="shared" si="7"/>
        <v>9.9</v>
      </c>
      <c r="M40" s="22">
        <f t="shared" si="7"/>
        <v>9.9</v>
      </c>
      <c r="N40" s="22">
        <f t="shared" si="8"/>
        <v>14.85</v>
      </c>
      <c r="O40" s="22">
        <f t="shared" si="8"/>
        <v>16.5</v>
      </c>
      <c r="P40" s="22">
        <f t="shared" si="8"/>
        <v>24.75</v>
      </c>
      <c r="Q40" s="22">
        <f t="shared" si="8"/>
        <v>33</v>
      </c>
      <c r="R40" s="22">
        <f t="shared" si="8"/>
        <v>33</v>
      </c>
      <c r="S40" s="22">
        <f t="shared" si="8"/>
        <v>14.85</v>
      </c>
      <c r="T40" s="22">
        <f t="shared" si="8"/>
        <v>14.85</v>
      </c>
      <c r="U40" s="22">
        <f t="shared" si="8"/>
        <v>24.75</v>
      </c>
      <c r="V40" s="22">
        <f t="shared" si="8"/>
        <v>33</v>
      </c>
      <c r="W40" s="22">
        <f t="shared" si="8"/>
        <v>24.75</v>
      </c>
      <c r="X40" s="22">
        <f t="shared" si="8"/>
        <v>16.5</v>
      </c>
      <c r="Y40" s="22">
        <f t="shared" si="8"/>
        <v>8.25</v>
      </c>
      <c r="Z40" s="22">
        <f t="shared" si="8"/>
        <v>16.5</v>
      </c>
    </row>
    <row r="41" spans="1:26" x14ac:dyDescent="0.3">
      <c r="A41" s="22">
        <f t="shared" si="1"/>
        <v>238.875</v>
      </c>
      <c r="B41" s="22">
        <f t="shared" si="2"/>
        <v>47.774999999999999</v>
      </c>
      <c r="C41" s="22">
        <f t="shared" si="3"/>
        <v>191.1</v>
      </c>
      <c r="D41" s="24" t="s">
        <v>39</v>
      </c>
      <c r="E41" s="24" t="s">
        <v>437</v>
      </c>
      <c r="F41" s="17" t="s">
        <v>40</v>
      </c>
      <c r="G41" s="22">
        <v>65</v>
      </c>
      <c r="H41" s="16">
        <v>0.05</v>
      </c>
      <c r="I41" s="22">
        <f t="shared" si="4"/>
        <v>3.25</v>
      </c>
      <c r="J41" s="22">
        <f t="shared" si="5"/>
        <v>68.25</v>
      </c>
      <c r="K41" s="22">
        <f t="shared" si="7"/>
        <v>6.5</v>
      </c>
      <c r="L41" s="22">
        <f t="shared" si="7"/>
        <v>3.9</v>
      </c>
      <c r="M41" s="22">
        <f t="shared" si="7"/>
        <v>3.9</v>
      </c>
      <c r="N41" s="22">
        <f t="shared" si="8"/>
        <v>5.85</v>
      </c>
      <c r="O41" s="22">
        <f t="shared" si="8"/>
        <v>6.5</v>
      </c>
      <c r="P41" s="22">
        <f t="shared" si="8"/>
        <v>9.75</v>
      </c>
      <c r="Q41" s="22">
        <f t="shared" si="8"/>
        <v>13</v>
      </c>
      <c r="R41" s="22">
        <f t="shared" si="8"/>
        <v>13</v>
      </c>
      <c r="S41" s="22">
        <f t="shared" si="8"/>
        <v>5.85</v>
      </c>
      <c r="T41" s="22">
        <f t="shared" si="8"/>
        <v>5.85</v>
      </c>
      <c r="U41" s="22">
        <f t="shared" si="8"/>
        <v>9.75</v>
      </c>
      <c r="V41" s="22">
        <f t="shared" si="8"/>
        <v>13</v>
      </c>
      <c r="W41" s="22">
        <f t="shared" si="8"/>
        <v>9.75</v>
      </c>
      <c r="X41" s="22">
        <f t="shared" si="8"/>
        <v>6.5</v>
      </c>
      <c r="Y41" s="22">
        <f t="shared" si="8"/>
        <v>3.25</v>
      </c>
      <c r="Z41" s="22">
        <f t="shared" si="8"/>
        <v>6.5</v>
      </c>
    </row>
    <row r="42" spans="1:26" x14ac:dyDescent="0.3">
      <c r="A42" s="22">
        <f t="shared" si="1"/>
        <v>23.887499999999999</v>
      </c>
      <c r="B42" s="22">
        <f t="shared" si="2"/>
        <v>4.7774999999999999</v>
      </c>
      <c r="C42" s="22">
        <f t="shared" si="3"/>
        <v>19.11</v>
      </c>
      <c r="D42" s="24" t="s">
        <v>41</v>
      </c>
      <c r="E42" s="24" t="s">
        <v>437</v>
      </c>
      <c r="F42" s="17" t="s">
        <v>42</v>
      </c>
      <c r="G42" s="22">
        <v>6.5</v>
      </c>
      <c r="H42" s="16">
        <v>0.05</v>
      </c>
      <c r="I42" s="22">
        <f t="shared" si="4"/>
        <v>0.32500000000000001</v>
      </c>
      <c r="J42" s="22">
        <f t="shared" si="5"/>
        <v>6.8250000000000002</v>
      </c>
      <c r="K42" s="22">
        <f t="shared" si="7"/>
        <v>0.65</v>
      </c>
      <c r="L42" s="22">
        <f t="shared" si="7"/>
        <v>0.39</v>
      </c>
      <c r="M42" s="22">
        <f t="shared" si="7"/>
        <v>0.39</v>
      </c>
      <c r="N42" s="22">
        <f t="shared" si="8"/>
        <v>0.58499999999999996</v>
      </c>
      <c r="O42" s="22">
        <f t="shared" si="8"/>
        <v>0.65</v>
      </c>
      <c r="P42" s="22">
        <f t="shared" si="8"/>
        <v>0.97499999999999998</v>
      </c>
      <c r="Q42" s="22">
        <f t="shared" si="8"/>
        <v>1.3</v>
      </c>
      <c r="R42" s="22">
        <f t="shared" si="8"/>
        <v>1.3</v>
      </c>
      <c r="S42" s="22">
        <f t="shared" si="8"/>
        <v>0.58499999999999996</v>
      </c>
      <c r="T42" s="22">
        <f t="shared" si="8"/>
        <v>0.58499999999999996</v>
      </c>
      <c r="U42" s="22">
        <f t="shared" si="8"/>
        <v>0.97499999999999998</v>
      </c>
      <c r="V42" s="22">
        <f t="shared" si="8"/>
        <v>1.3</v>
      </c>
      <c r="W42" s="22">
        <f t="shared" si="8"/>
        <v>0.97499999999999998</v>
      </c>
      <c r="X42" s="22">
        <f t="shared" si="8"/>
        <v>0.65</v>
      </c>
      <c r="Y42" s="22">
        <f t="shared" si="8"/>
        <v>0.32500000000000001</v>
      </c>
      <c r="Z42" s="22">
        <f t="shared" si="8"/>
        <v>0.65</v>
      </c>
    </row>
    <row r="43" spans="1:26" x14ac:dyDescent="0.3">
      <c r="A43" s="22">
        <f t="shared" si="1"/>
        <v>47.774999999999999</v>
      </c>
      <c r="B43" s="22">
        <f t="shared" si="2"/>
        <v>9.5549999999999997</v>
      </c>
      <c r="C43" s="22">
        <f t="shared" si="3"/>
        <v>38.22</v>
      </c>
      <c r="D43" s="24" t="s">
        <v>41</v>
      </c>
      <c r="E43" s="24" t="s">
        <v>437</v>
      </c>
      <c r="F43" s="17" t="s">
        <v>43</v>
      </c>
      <c r="G43" s="22">
        <v>13</v>
      </c>
      <c r="H43" s="16">
        <v>0.05</v>
      </c>
      <c r="I43" s="22">
        <f t="shared" si="4"/>
        <v>0.65</v>
      </c>
      <c r="J43" s="22">
        <f t="shared" si="5"/>
        <v>13.65</v>
      </c>
      <c r="K43" s="22">
        <f t="shared" si="7"/>
        <v>1.3</v>
      </c>
      <c r="L43" s="22">
        <f t="shared" si="7"/>
        <v>0.78</v>
      </c>
      <c r="M43" s="22">
        <f t="shared" si="7"/>
        <v>0.78</v>
      </c>
      <c r="N43" s="22">
        <f t="shared" si="8"/>
        <v>1.17</v>
      </c>
      <c r="O43" s="22">
        <f t="shared" si="8"/>
        <v>1.3</v>
      </c>
      <c r="P43" s="22">
        <f t="shared" si="8"/>
        <v>1.95</v>
      </c>
      <c r="Q43" s="22">
        <f t="shared" si="8"/>
        <v>2.6</v>
      </c>
      <c r="R43" s="22">
        <f t="shared" si="8"/>
        <v>2.6</v>
      </c>
      <c r="S43" s="22">
        <f t="shared" si="8"/>
        <v>1.17</v>
      </c>
      <c r="T43" s="22">
        <f t="shared" si="8"/>
        <v>1.17</v>
      </c>
      <c r="U43" s="22">
        <f t="shared" si="8"/>
        <v>1.95</v>
      </c>
      <c r="V43" s="22">
        <f t="shared" si="8"/>
        <v>2.6</v>
      </c>
      <c r="W43" s="22">
        <f t="shared" si="8"/>
        <v>1.95</v>
      </c>
      <c r="X43" s="22">
        <f t="shared" si="8"/>
        <v>1.3</v>
      </c>
      <c r="Y43" s="22">
        <f t="shared" si="8"/>
        <v>0.65</v>
      </c>
      <c r="Z43" s="22">
        <f t="shared" si="8"/>
        <v>1.3</v>
      </c>
    </row>
    <row r="44" spans="1:26" x14ac:dyDescent="0.3">
      <c r="A44" s="22">
        <f t="shared" si="1"/>
        <v>731.73450000000003</v>
      </c>
      <c r="B44" s="22">
        <f t="shared" si="2"/>
        <v>146.34690000000001</v>
      </c>
      <c r="C44" s="22">
        <f t="shared" si="3"/>
        <v>585.38760000000002</v>
      </c>
      <c r="D44" s="24" t="s">
        <v>44</v>
      </c>
      <c r="E44" s="24" t="s">
        <v>437</v>
      </c>
      <c r="F44" s="17" t="s">
        <v>45</v>
      </c>
      <c r="G44" s="22">
        <v>190.68</v>
      </c>
      <c r="H44" s="16">
        <v>0.18</v>
      </c>
      <c r="I44" s="22">
        <f t="shared" si="4"/>
        <v>34.322400000000002</v>
      </c>
      <c r="J44" s="22">
        <f t="shared" si="5"/>
        <v>225.00240000000002</v>
      </c>
      <c r="K44" s="22">
        <f t="shared" si="7"/>
        <v>19.068000000000001</v>
      </c>
      <c r="L44" s="22">
        <f t="shared" si="7"/>
        <v>11.440799999999999</v>
      </c>
      <c r="M44" s="22">
        <f t="shared" si="7"/>
        <v>11.440799999999999</v>
      </c>
      <c r="N44" s="22">
        <f t="shared" si="8"/>
        <v>17.161200000000001</v>
      </c>
      <c r="O44" s="22">
        <f t="shared" si="8"/>
        <v>19.068000000000001</v>
      </c>
      <c r="P44" s="22">
        <f t="shared" si="8"/>
        <v>28.602</v>
      </c>
      <c r="Q44" s="22">
        <f t="shared" si="8"/>
        <v>38.136000000000003</v>
      </c>
      <c r="R44" s="22">
        <f t="shared" si="8"/>
        <v>38.136000000000003</v>
      </c>
      <c r="S44" s="22">
        <f t="shared" si="8"/>
        <v>17.161200000000001</v>
      </c>
      <c r="T44" s="22">
        <f t="shared" si="8"/>
        <v>17.161200000000001</v>
      </c>
      <c r="U44" s="22">
        <f t="shared" si="8"/>
        <v>28.602</v>
      </c>
      <c r="V44" s="22">
        <f t="shared" si="8"/>
        <v>38.136000000000003</v>
      </c>
      <c r="W44" s="22">
        <f t="shared" si="8"/>
        <v>28.602</v>
      </c>
      <c r="X44" s="22">
        <f t="shared" si="8"/>
        <v>19.068000000000001</v>
      </c>
      <c r="Y44" s="22">
        <f t="shared" si="8"/>
        <v>9.5340000000000007</v>
      </c>
      <c r="Z44" s="22">
        <f t="shared" si="8"/>
        <v>19.068000000000001</v>
      </c>
    </row>
    <row r="45" spans="1:26" x14ac:dyDescent="0.3">
      <c r="A45" s="22">
        <f t="shared" si="1"/>
        <v>715.46350000000018</v>
      </c>
      <c r="B45" s="22">
        <f t="shared" si="2"/>
        <v>143.09270000000004</v>
      </c>
      <c r="C45" s="22">
        <f t="shared" si="3"/>
        <v>572.37080000000014</v>
      </c>
      <c r="D45" s="24" t="s">
        <v>44</v>
      </c>
      <c r="E45" s="24" t="s">
        <v>437</v>
      </c>
      <c r="F45" s="17" t="s">
        <v>46</v>
      </c>
      <c r="G45" s="22">
        <v>186.44</v>
      </c>
      <c r="H45" s="16">
        <v>0.18</v>
      </c>
      <c r="I45" s="22">
        <f t="shared" si="4"/>
        <v>33.559199999999997</v>
      </c>
      <c r="J45" s="22">
        <f t="shared" si="5"/>
        <v>219.9992</v>
      </c>
      <c r="K45" s="22">
        <f t="shared" si="7"/>
        <v>18.644000000000002</v>
      </c>
      <c r="L45" s="22">
        <f t="shared" si="7"/>
        <v>11.186399999999999</v>
      </c>
      <c r="M45" s="22">
        <f t="shared" si="7"/>
        <v>11.186399999999999</v>
      </c>
      <c r="N45" s="22">
        <f t="shared" si="8"/>
        <v>16.779599999999999</v>
      </c>
      <c r="O45" s="22">
        <f t="shared" si="8"/>
        <v>18.644000000000002</v>
      </c>
      <c r="P45" s="22">
        <f t="shared" si="8"/>
        <v>27.965999999999998</v>
      </c>
      <c r="Q45" s="22">
        <f t="shared" si="8"/>
        <v>37.288000000000004</v>
      </c>
      <c r="R45" s="22">
        <f t="shared" si="8"/>
        <v>37.288000000000004</v>
      </c>
      <c r="S45" s="22">
        <f t="shared" si="8"/>
        <v>16.779599999999999</v>
      </c>
      <c r="T45" s="22">
        <f t="shared" si="8"/>
        <v>16.779599999999999</v>
      </c>
      <c r="U45" s="22">
        <f t="shared" si="8"/>
        <v>27.965999999999998</v>
      </c>
      <c r="V45" s="22">
        <f t="shared" si="8"/>
        <v>37.288000000000004</v>
      </c>
      <c r="W45" s="22">
        <f t="shared" si="8"/>
        <v>27.965999999999998</v>
      </c>
      <c r="X45" s="22">
        <f t="shared" si="8"/>
        <v>18.644000000000002</v>
      </c>
      <c r="Y45" s="22">
        <f t="shared" si="8"/>
        <v>9.322000000000001</v>
      </c>
      <c r="Z45" s="22">
        <f t="shared" si="8"/>
        <v>18.644000000000002</v>
      </c>
    </row>
    <row r="46" spans="1:26" x14ac:dyDescent="0.3">
      <c r="A46" s="22">
        <f t="shared" si="1"/>
        <v>715.46350000000018</v>
      </c>
      <c r="B46" s="22">
        <f t="shared" si="2"/>
        <v>143.09270000000004</v>
      </c>
      <c r="C46" s="22">
        <f t="shared" si="3"/>
        <v>572.37080000000014</v>
      </c>
      <c r="D46" s="24" t="s">
        <v>44</v>
      </c>
      <c r="E46" s="24" t="s">
        <v>437</v>
      </c>
      <c r="F46" s="17" t="s">
        <v>47</v>
      </c>
      <c r="G46" s="22">
        <v>186.44</v>
      </c>
      <c r="H46" s="16">
        <v>0.18</v>
      </c>
      <c r="I46" s="22">
        <f t="shared" si="4"/>
        <v>33.559199999999997</v>
      </c>
      <c r="J46" s="22">
        <f t="shared" si="5"/>
        <v>219.9992</v>
      </c>
      <c r="K46" s="22">
        <f t="shared" si="7"/>
        <v>18.644000000000002</v>
      </c>
      <c r="L46" s="22">
        <f t="shared" si="7"/>
        <v>11.186399999999999</v>
      </c>
      <c r="M46" s="22">
        <f t="shared" si="7"/>
        <v>11.186399999999999</v>
      </c>
      <c r="N46" s="22">
        <f t="shared" si="8"/>
        <v>16.779599999999999</v>
      </c>
      <c r="O46" s="22">
        <f t="shared" si="8"/>
        <v>18.644000000000002</v>
      </c>
      <c r="P46" s="22">
        <f t="shared" si="8"/>
        <v>27.965999999999998</v>
      </c>
      <c r="Q46" s="22">
        <f t="shared" si="8"/>
        <v>37.288000000000004</v>
      </c>
      <c r="R46" s="22">
        <f t="shared" si="8"/>
        <v>37.288000000000004</v>
      </c>
      <c r="S46" s="22">
        <f t="shared" si="8"/>
        <v>16.779599999999999</v>
      </c>
      <c r="T46" s="22">
        <f t="shared" si="8"/>
        <v>16.779599999999999</v>
      </c>
      <c r="U46" s="22">
        <f t="shared" si="8"/>
        <v>27.965999999999998</v>
      </c>
      <c r="V46" s="22">
        <f t="shared" si="8"/>
        <v>37.288000000000004</v>
      </c>
      <c r="W46" s="22">
        <f t="shared" si="8"/>
        <v>27.965999999999998</v>
      </c>
      <c r="X46" s="22">
        <f t="shared" si="8"/>
        <v>18.644000000000002</v>
      </c>
      <c r="Y46" s="22">
        <f t="shared" si="8"/>
        <v>9.322000000000001</v>
      </c>
      <c r="Z46" s="22">
        <f t="shared" si="8"/>
        <v>18.644000000000002</v>
      </c>
    </row>
    <row r="47" spans="1:26" x14ac:dyDescent="0.3">
      <c r="A47" s="22">
        <f t="shared" si="1"/>
        <v>422.12500000000006</v>
      </c>
      <c r="B47" s="22">
        <f t="shared" si="2"/>
        <v>84.425000000000011</v>
      </c>
      <c r="C47" s="22">
        <f t="shared" si="3"/>
        <v>337.70000000000005</v>
      </c>
      <c r="D47" s="24" t="s">
        <v>44</v>
      </c>
      <c r="E47" s="24" t="s">
        <v>437</v>
      </c>
      <c r="F47" s="17" t="s">
        <v>48</v>
      </c>
      <c r="G47" s="22">
        <v>110</v>
      </c>
      <c r="H47" s="16">
        <v>0.18</v>
      </c>
      <c r="I47" s="22">
        <f t="shared" si="4"/>
        <v>19.8</v>
      </c>
      <c r="J47" s="22">
        <f t="shared" si="5"/>
        <v>129.80000000000001</v>
      </c>
      <c r="K47" s="22">
        <f t="shared" si="7"/>
        <v>11</v>
      </c>
      <c r="L47" s="22">
        <f t="shared" si="7"/>
        <v>6.6</v>
      </c>
      <c r="M47" s="22">
        <f t="shared" si="7"/>
        <v>6.6</v>
      </c>
      <c r="N47" s="22">
        <f t="shared" si="8"/>
        <v>9.9</v>
      </c>
      <c r="O47" s="22">
        <f t="shared" si="8"/>
        <v>11</v>
      </c>
      <c r="P47" s="22">
        <f t="shared" si="8"/>
        <v>16.5</v>
      </c>
      <c r="Q47" s="22">
        <f t="shared" si="8"/>
        <v>22</v>
      </c>
      <c r="R47" s="22">
        <f t="shared" si="8"/>
        <v>22</v>
      </c>
      <c r="S47" s="22">
        <f t="shared" si="8"/>
        <v>9.9</v>
      </c>
      <c r="T47" s="22">
        <f t="shared" si="8"/>
        <v>9.9</v>
      </c>
      <c r="U47" s="22">
        <f t="shared" si="8"/>
        <v>16.5</v>
      </c>
      <c r="V47" s="22">
        <f t="shared" si="8"/>
        <v>22</v>
      </c>
      <c r="W47" s="22">
        <f t="shared" si="8"/>
        <v>16.5</v>
      </c>
      <c r="X47" s="22">
        <f t="shared" si="8"/>
        <v>11</v>
      </c>
      <c r="Y47" s="22">
        <f t="shared" si="8"/>
        <v>5.5</v>
      </c>
      <c r="Z47" s="22">
        <f t="shared" si="8"/>
        <v>11</v>
      </c>
    </row>
    <row r="48" spans="1:26" x14ac:dyDescent="0.3">
      <c r="A48" s="22">
        <f t="shared" si="1"/>
        <v>422.12500000000006</v>
      </c>
      <c r="B48" s="22">
        <f t="shared" si="2"/>
        <v>84.425000000000011</v>
      </c>
      <c r="C48" s="22">
        <f t="shared" si="3"/>
        <v>337.70000000000005</v>
      </c>
      <c r="D48" s="24" t="s">
        <v>44</v>
      </c>
      <c r="E48" s="24" t="s">
        <v>437</v>
      </c>
      <c r="F48" s="17" t="s">
        <v>49</v>
      </c>
      <c r="G48" s="22">
        <v>110</v>
      </c>
      <c r="H48" s="16">
        <v>0.18</v>
      </c>
      <c r="I48" s="22">
        <f t="shared" si="4"/>
        <v>19.8</v>
      </c>
      <c r="J48" s="22">
        <f t="shared" si="5"/>
        <v>129.80000000000001</v>
      </c>
      <c r="K48" s="22">
        <f t="shared" si="7"/>
        <v>11</v>
      </c>
      <c r="L48" s="22">
        <f t="shared" si="7"/>
        <v>6.6</v>
      </c>
      <c r="M48" s="22">
        <f t="shared" si="7"/>
        <v>6.6</v>
      </c>
      <c r="N48" s="22">
        <f t="shared" si="8"/>
        <v>9.9</v>
      </c>
      <c r="O48" s="22">
        <f t="shared" si="8"/>
        <v>11</v>
      </c>
      <c r="P48" s="22">
        <f t="shared" si="8"/>
        <v>16.5</v>
      </c>
      <c r="Q48" s="22">
        <f t="shared" si="8"/>
        <v>22</v>
      </c>
      <c r="R48" s="22">
        <f t="shared" si="8"/>
        <v>22</v>
      </c>
      <c r="S48" s="22">
        <f t="shared" si="8"/>
        <v>9.9</v>
      </c>
      <c r="T48" s="22">
        <f t="shared" si="8"/>
        <v>9.9</v>
      </c>
      <c r="U48" s="22">
        <f t="shared" si="8"/>
        <v>16.5</v>
      </c>
      <c r="V48" s="22">
        <f t="shared" si="8"/>
        <v>22</v>
      </c>
      <c r="W48" s="22">
        <f t="shared" si="8"/>
        <v>16.5</v>
      </c>
      <c r="X48" s="22">
        <f t="shared" si="8"/>
        <v>11</v>
      </c>
      <c r="Y48" s="22">
        <f t="shared" si="8"/>
        <v>5.5</v>
      </c>
      <c r="Z48" s="22">
        <f t="shared" si="8"/>
        <v>11</v>
      </c>
    </row>
    <row r="49" spans="1:26" x14ac:dyDescent="0.3">
      <c r="A49" s="22">
        <f t="shared" si="1"/>
        <v>422.12500000000006</v>
      </c>
      <c r="B49" s="22">
        <f t="shared" si="2"/>
        <v>84.425000000000011</v>
      </c>
      <c r="C49" s="22">
        <f t="shared" si="3"/>
        <v>337.70000000000005</v>
      </c>
      <c r="D49" s="24" t="s">
        <v>44</v>
      </c>
      <c r="E49" s="24" t="s">
        <v>437</v>
      </c>
      <c r="F49" s="17" t="s">
        <v>50</v>
      </c>
      <c r="G49" s="22">
        <v>110</v>
      </c>
      <c r="H49" s="16">
        <v>0.18</v>
      </c>
      <c r="I49" s="22">
        <f t="shared" si="4"/>
        <v>19.8</v>
      </c>
      <c r="J49" s="22">
        <f t="shared" si="5"/>
        <v>129.80000000000001</v>
      </c>
      <c r="K49" s="22">
        <f t="shared" si="7"/>
        <v>11</v>
      </c>
      <c r="L49" s="22">
        <f t="shared" si="7"/>
        <v>6.6</v>
      </c>
      <c r="M49" s="22">
        <f t="shared" si="7"/>
        <v>6.6</v>
      </c>
      <c r="N49" s="22">
        <f t="shared" si="8"/>
        <v>9.9</v>
      </c>
      <c r="O49" s="22">
        <f t="shared" si="8"/>
        <v>11</v>
      </c>
      <c r="P49" s="22">
        <f t="shared" si="8"/>
        <v>16.5</v>
      </c>
      <c r="Q49" s="22">
        <f t="shared" si="8"/>
        <v>22</v>
      </c>
      <c r="R49" s="22">
        <f t="shared" si="8"/>
        <v>22</v>
      </c>
      <c r="S49" s="22">
        <f t="shared" si="8"/>
        <v>9.9</v>
      </c>
      <c r="T49" s="22">
        <f t="shared" si="8"/>
        <v>9.9</v>
      </c>
      <c r="U49" s="22">
        <f t="shared" si="8"/>
        <v>16.5</v>
      </c>
      <c r="V49" s="22">
        <f t="shared" si="8"/>
        <v>22</v>
      </c>
      <c r="W49" s="22">
        <f t="shared" si="8"/>
        <v>16.5</v>
      </c>
      <c r="X49" s="22">
        <f t="shared" si="8"/>
        <v>11</v>
      </c>
      <c r="Y49" s="22">
        <f t="shared" si="8"/>
        <v>5.5</v>
      </c>
      <c r="Z49" s="22">
        <f t="shared" si="8"/>
        <v>11</v>
      </c>
    </row>
    <row r="50" spans="1:26" x14ac:dyDescent="0.3">
      <c r="A50" s="22">
        <f t="shared" si="1"/>
        <v>422.12500000000006</v>
      </c>
      <c r="B50" s="22">
        <f t="shared" si="2"/>
        <v>84.425000000000011</v>
      </c>
      <c r="C50" s="22">
        <f t="shared" si="3"/>
        <v>337.70000000000005</v>
      </c>
      <c r="D50" s="24" t="s">
        <v>44</v>
      </c>
      <c r="E50" s="24" t="s">
        <v>437</v>
      </c>
      <c r="F50" s="17" t="s">
        <v>51</v>
      </c>
      <c r="G50" s="22">
        <v>110</v>
      </c>
      <c r="H50" s="16">
        <v>0.18</v>
      </c>
      <c r="I50" s="22">
        <f t="shared" si="4"/>
        <v>19.8</v>
      </c>
      <c r="J50" s="22">
        <f t="shared" si="5"/>
        <v>129.80000000000001</v>
      </c>
      <c r="K50" s="22">
        <f t="shared" si="7"/>
        <v>11</v>
      </c>
      <c r="L50" s="22">
        <f t="shared" si="7"/>
        <v>6.6</v>
      </c>
      <c r="M50" s="22">
        <f t="shared" si="7"/>
        <v>6.6</v>
      </c>
      <c r="N50" s="22">
        <f t="shared" si="8"/>
        <v>9.9</v>
      </c>
      <c r="O50" s="22">
        <f t="shared" si="8"/>
        <v>11</v>
      </c>
      <c r="P50" s="22">
        <f t="shared" si="8"/>
        <v>16.5</v>
      </c>
      <c r="Q50" s="22">
        <f t="shared" si="8"/>
        <v>22</v>
      </c>
      <c r="R50" s="22">
        <f t="shared" si="8"/>
        <v>22</v>
      </c>
      <c r="S50" s="22">
        <f t="shared" si="8"/>
        <v>9.9</v>
      </c>
      <c r="T50" s="22">
        <f t="shared" si="8"/>
        <v>9.9</v>
      </c>
      <c r="U50" s="22">
        <f t="shared" si="8"/>
        <v>16.5</v>
      </c>
      <c r="V50" s="22">
        <f t="shared" si="8"/>
        <v>22</v>
      </c>
      <c r="W50" s="22">
        <f t="shared" si="8"/>
        <v>16.5</v>
      </c>
      <c r="X50" s="22">
        <f t="shared" si="8"/>
        <v>11</v>
      </c>
      <c r="Y50" s="22">
        <f t="shared" si="8"/>
        <v>5.5</v>
      </c>
      <c r="Z50" s="22">
        <f t="shared" si="8"/>
        <v>11</v>
      </c>
    </row>
    <row r="51" spans="1:26" x14ac:dyDescent="0.3">
      <c r="A51" s="22">
        <f t="shared" si="1"/>
        <v>422.12500000000006</v>
      </c>
      <c r="B51" s="22">
        <f t="shared" si="2"/>
        <v>84.425000000000011</v>
      </c>
      <c r="C51" s="22">
        <f t="shared" si="3"/>
        <v>337.70000000000005</v>
      </c>
      <c r="D51" s="24" t="s">
        <v>44</v>
      </c>
      <c r="E51" s="24" t="s">
        <v>437</v>
      </c>
      <c r="F51" s="17" t="s">
        <v>52</v>
      </c>
      <c r="G51" s="22">
        <v>110</v>
      </c>
      <c r="H51" s="16">
        <v>0.18</v>
      </c>
      <c r="I51" s="22">
        <f t="shared" si="4"/>
        <v>19.8</v>
      </c>
      <c r="J51" s="22">
        <f t="shared" si="5"/>
        <v>129.80000000000001</v>
      </c>
      <c r="K51" s="22">
        <f t="shared" si="7"/>
        <v>11</v>
      </c>
      <c r="L51" s="22">
        <f t="shared" si="7"/>
        <v>6.6</v>
      </c>
      <c r="M51" s="22">
        <f t="shared" si="7"/>
        <v>6.6</v>
      </c>
      <c r="N51" s="22">
        <f t="shared" si="8"/>
        <v>9.9</v>
      </c>
      <c r="O51" s="22">
        <f t="shared" si="8"/>
        <v>11</v>
      </c>
      <c r="P51" s="22">
        <f t="shared" si="8"/>
        <v>16.5</v>
      </c>
      <c r="Q51" s="22">
        <f t="shared" si="8"/>
        <v>22</v>
      </c>
      <c r="R51" s="22">
        <f t="shared" si="8"/>
        <v>22</v>
      </c>
      <c r="S51" s="22">
        <f t="shared" si="8"/>
        <v>9.9</v>
      </c>
      <c r="T51" s="22">
        <f t="shared" si="8"/>
        <v>9.9</v>
      </c>
      <c r="U51" s="22">
        <f t="shared" si="8"/>
        <v>16.5</v>
      </c>
      <c r="V51" s="22">
        <f t="shared" si="8"/>
        <v>22</v>
      </c>
      <c r="W51" s="22">
        <f t="shared" si="8"/>
        <v>16.5</v>
      </c>
      <c r="X51" s="22">
        <f t="shared" si="8"/>
        <v>11</v>
      </c>
      <c r="Y51" s="22">
        <f t="shared" si="8"/>
        <v>5.5</v>
      </c>
      <c r="Z51" s="22">
        <f t="shared" si="8"/>
        <v>11</v>
      </c>
    </row>
    <row r="52" spans="1:26" x14ac:dyDescent="0.3">
      <c r="A52" s="22">
        <f t="shared" si="1"/>
        <v>126.63749999999996</v>
      </c>
      <c r="B52" s="22">
        <f t="shared" si="2"/>
        <v>25.327499999999993</v>
      </c>
      <c r="C52" s="22">
        <f t="shared" si="3"/>
        <v>101.30999999999997</v>
      </c>
      <c r="D52" s="24" t="s">
        <v>53</v>
      </c>
      <c r="E52" s="24" t="s">
        <v>437</v>
      </c>
      <c r="F52" s="17" t="s">
        <v>54</v>
      </c>
      <c r="G52" s="22">
        <v>33</v>
      </c>
      <c r="H52" s="16">
        <v>0.18</v>
      </c>
      <c r="I52" s="22">
        <f t="shared" si="4"/>
        <v>5.9399999999999995</v>
      </c>
      <c r="J52" s="22">
        <f t="shared" si="5"/>
        <v>38.94</v>
      </c>
      <c r="K52" s="22">
        <f t="shared" si="7"/>
        <v>3.3000000000000003</v>
      </c>
      <c r="L52" s="22">
        <f t="shared" si="7"/>
        <v>1.98</v>
      </c>
      <c r="M52" s="22">
        <f t="shared" si="7"/>
        <v>1.98</v>
      </c>
      <c r="N52" s="22">
        <f t="shared" si="8"/>
        <v>2.9699999999999998</v>
      </c>
      <c r="O52" s="22">
        <f t="shared" si="8"/>
        <v>3.3000000000000003</v>
      </c>
      <c r="P52" s="22">
        <f t="shared" si="8"/>
        <v>4.95</v>
      </c>
      <c r="Q52" s="22">
        <f t="shared" si="8"/>
        <v>6.6000000000000005</v>
      </c>
      <c r="R52" s="22">
        <f t="shared" si="8"/>
        <v>6.6000000000000005</v>
      </c>
      <c r="S52" s="22">
        <f t="shared" si="8"/>
        <v>2.9699999999999998</v>
      </c>
      <c r="T52" s="22">
        <f t="shared" si="8"/>
        <v>2.9699999999999998</v>
      </c>
      <c r="U52" s="22">
        <f t="shared" si="8"/>
        <v>4.95</v>
      </c>
      <c r="V52" s="22">
        <f t="shared" si="8"/>
        <v>6.6000000000000005</v>
      </c>
      <c r="W52" s="22">
        <f t="shared" si="8"/>
        <v>4.95</v>
      </c>
      <c r="X52" s="22">
        <f t="shared" si="8"/>
        <v>3.3000000000000003</v>
      </c>
      <c r="Y52" s="22">
        <f t="shared" si="8"/>
        <v>1.6500000000000001</v>
      </c>
      <c r="Z52" s="22">
        <f t="shared" si="8"/>
        <v>3.3000000000000003</v>
      </c>
    </row>
    <row r="53" spans="1:26" x14ac:dyDescent="0.3">
      <c r="A53" s="22">
        <f t="shared" si="1"/>
        <v>191.10749999999999</v>
      </c>
      <c r="B53" s="22">
        <f t="shared" si="2"/>
        <v>38.221499999999999</v>
      </c>
      <c r="C53" s="22">
        <f t="shared" si="3"/>
        <v>152.886</v>
      </c>
      <c r="D53" s="24" t="s">
        <v>53</v>
      </c>
      <c r="E53" s="24" t="s">
        <v>437</v>
      </c>
      <c r="F53" s="17" t="s">
        <v>55</v>
      </c>
      <c r="G53" s="22">
        <v>49.8</v>
      </c>
      <c r="H53" s="16">
        <v>0.18</v>
      </c>
      <c r="I53" s="22">
        <f t="shared" si="4"/>
        <v>8.9639999999999986</v>
      </c>
      <c r="J53" s="22">
        <f t="shared" si="5"/>
        <v>58.763999999999996</v>
      </c>
      <c r="K53" s="22">
        <f t="shared" si="7"/>
        <v>4.9800000000000004</v>
      </c>
      <c r="L53" s="22">
        <f t="shared" si="7"/>
        <v>2.9879999999999995</v>
      </c>
      <c r="M53" s="22">
        <f t="shared" si="7"/>
        <v>2.9879999999999995</v>
      </c>
      <c r="N53" s="22">
        <f t="shared" si="8"/>
        <v>4.4819999999999993</v>
      </c>
      <c r="O53" s="22">
        <f t="shared" si="8"/>
        <v>4.9800000000000004</v>
      </c>
      <c r="P53" s="22">
        <f t="shared" si="8"/>
        <v>7.4699999999999989</v>
      </c>
      <c r="Q53" s="22">
        <f t="shared" si="8"/>
        <v>9.9600000000000009</v>
      </c>
      <c r="R53" s="22">
        <f t="shared" si="8"/>
        <v>9.9600000000000009</v>
      </c>
      <c r="S53" s="22">
        <f t="shared" si="8"/>
        <v>4.4819999999999993</v>
      </c>
      <c r="T53" s="22">
        <f t="shared" si="8"/>
        <v>4.4819999999999993</v>
      </c>
      <c r="U53" s="22">
        <f t="shared" si="8"/>
        <v>7.4699999999999989</v>
      </c>
      <c r="V53" s="22">
        <f t="shared" si="8"/>
        <v>9.9600000000000009</v>
      </c>
      <c r="W53" s="22">
        <f t="shared" si="8"/>
        <v>7.4699999999999989</v>
      </c>
      <c r="X53" s="22">
        <f t="shared" si="8"/>
        <v>4.9800000000000004</v>
      </c>
      <c r="Y53" s="22">
        <f t="shared" si="8"/>
        <v>2.4900000000000002</v>
      </c>
      <c r="Z53" s="22">
        <f t="shared" si="8"/>
        <v>4.9800000000000004</v>
      </c>
    </row>
    <row r="54" spans="1:26" x14ac:dyDescent="0.3">
      <c r="A54" s="22">
        <f t="shared" si="1"/>
        <v>252.50749999999999</v>
      </c>
      <c r="B54" s="22">
        <f t="shared" si="2"/>
        <v>50.5015</v>
      </c>
      <c r="C54" s="22">
        <f t="shared" si="3"/>
        <v>202.006</v>
      </c>
      <c r="D54" s="24" t="s">
        <v>53</v>
      </c>
      <c r="E54" s="24" t="s">
        <v>437</v>
      </c>
      <c r="F54" s="17" t="s">
        <v>56</v>
      </c>
      <c r="G54" s="22">
        <v>65.8</v>
      </c>
      <c r="H54" s="16">
        <v>0.18</v>
      </c>
      <c r="I54" s="22">
        <f t="shared" si="4"/>
        <v>11.843999999999999</v>
      </c>
      <c r="J54" s="22">
        <f t="shared" si="5"/>
        <v>77.643999999999991</v>
      </c>
      <c r="K54" s="22">
        <f t="shared" si="7"/>
        <v>6.58</v>
      </c>
      <c r="L54" s="22">
        <f t="shared" si="7"/>
        <v>3.9479999999999995</v>
      </c>
      <c r="M54" s="22">
        <f t="shared" si="7"/>
        <v>3.9479999999999995</v>
      </c>
      <c r="N54" s="22">
        <f t="shared" si="8"/>
        <v>5.9219999999999997</v>
      </c>
      <c r="O54" s="22">
        <f t="shared" si="8"/>
        <v>6.58</v>
      </c>
      <c r="P54" s="22">
        <f t="shared" si="8"/>
        <v>9.8699999999999992</v>
      </c>
      <c r="Q54" s="22">
        <f t="shared" si="8"/>
        <v>13.16</v>
      </c>
      <c r="R54" s="22">
        <f t="shared" si="8"/>
        <v>13.16</v>
      </c>
      <c r="S54" s="22">
        <f t="shared" si="8"/>
        <v>5.9219999999999997</v>
      </c>
      <c r="T54" s="22">
        <f t="shared" si="8"/>
        <v>5.9219999999999997</v>
      </c>
      <c r="U54" s="22">
        <f t="shared" si="8"/>
        <v>9.8699999999999992</v>
      </c>
      <c r="V54" s="22">
        <f t="shared" si="8"/>
        <v>13.16</v>
      </c>
      <c r="W54" s="22">
        <f t="shared" si="8"/>
        <v>9.8699999999999992</v>
      </c>
      <c r="X54" s="22">
        <f t="shared" si="8"/>
        <v>6.58</v>
      </c>
      <c r="Y54" s="22">
        <f t="shared" si="8"/>
        <v>3.29</v>
      </c>
      <c r="Z54" s="22">
        <f t="shared" si="8"/>
        <v>6.58</v>
      </c>
    </row>
    <row r="55" spans="1:26" x14ac:dyDescent="0.3">
      <c r="A55" s="22">
        <f t="shared" si="1"/>
        <v>326.1875</v>
      </c>
      <c r="B55" s="22">
        <f t="shared" si="2"/>
        <v>65.237499999999997</v>
      </c>
      <c r="C55" s="22">
        <f t="shared" si="3"/>
        <v>260.95</v>
      </c>
      <c r="D55" s="24" t="s">
        <v>57</v>
      </c>
      <c r="E55" s="24" t="s">
        <v>437</v>
      </c>
      <c r="F55" s="17" t="s">
        <v>58</v>
      </c>
      <c r="G55" s="22">
        <v>85</v>
      </c>
      <c r="H55" s="16">
        <v>0.18</v>
      </c>
      <c r="I55" s="22">
        <f t="shared" si="4"/>
        <v>15.299999999999999</v>
      </c>
      <c r="J55" s="22">
        <f t="shared" si="5"/>
        <v>100.3</v>
      </c>
      <c r="K55" s="22">
        <f t="shared" si="7"/>
        <v>8.5</v>
      </c>
      <c r="L55" s="22">
        <f t="shared" si="7"/>
        <v>5.0999999999999996</v>
      </c>
      <c r="M55" s="22">
        <f t="shared" si="7"/>
        <v>5.0999999999999996</v>
      </c>
      <c r="N55" s="22">
        <f t="shared" si="8"/>
        <v>7.6499999999999995</v>
      </c>
      <c r="O55" s="22">
        <f t="shared" si="8"/>
        <v>8.5</v>
      </c>
      <c r="P55" s="22">
        <f t="shared" si="8"/>
        <v>12.75</v>
      </c>
      <c r="Q55" s="22">
        <f t="shared" si="8"/>
        <v>17</v>
      </c>
      <c r="R55" s="22">
        <f t="shared" si="8"/>
        <v>17</v>
      </c>
      <c r="S55" s="22">
        <f t="shared" si="8"/>
        <v>7.6499999999999995</v>
      </c>
      <c r="T55" s="22">
        <f t="shared" si="8"/>
        <v>7.6499999999999995</v>
      </c>
      <c r="U55" s="22">
        <f t="shared" si="8"/>
        <v>12.75</v>
      </c>
      <c r="V55" s="22">
        <f t="shared" si="8"/>
        <v>17</v>
      </c>
      <c r="W55" s="22">
        <f t="shared" si="8"/>
        <v>12.75</v>
      </c>
      <c r="X55" s="22">
        <f t="shared" si="8"/>
        <v>8.5</v>
      </c>
      <c r="Y55" s="22">
        <f t="shared" si="8"/>
        <v>4.25</v>
      </c>
      <c r="Z55" s="22">
        <f t="shared" si="8"/>
        <v>8.5</v>
      </c>
    </row>
    <row r="56" spans="1:26" x14ac:dyDescent="0.3">
      <c r="A56" s="22">
        <f t="shared" si="1"/>
        <v>76.749999999999986</v>
      </c>
      <c r="B56" s="22">
        <f t="shared" si="2"/>
        <v>15.349999999999998</v>
      </c>
      <c r="C56" s="22">
        <f t="shared" si="3"/>
        <v>61.399999999999991</v>
      </c>
      <c r="D56" s="24" t="s">
        <v>57</v>
      </c>
      <c r="E56" s="24" t="s">
        <v>437</v>
      </c>
      <c r="F56" s="17" t="s">
        <v>59</v>
      </c>
      <c r="G56" s="22">
        <v>20</v>
      </c>
      <c r="H56" s="16">
        <v>0.18</v>
      </c>
      <c r="I56" s="22">
        <f t="shared" si="4"/>
        <v>3.5999999999999996</v>
      </c>
      <c r="J56" s="22">
        <f t="shared" si="5"/>
        <v>23.6</v>
      </c>
      <c r="K56" s="22">
        <f t="shared" si="7"/>
        <v>2</v>
      </c>
      <c r="L56" s="22">
        <f t="shared" si="7"/>
        <v>1.2</v>
      </c>
      <c r="M56" s="22">
        <f t="shared" si="7"/>
        <v>1.2</v>
      </c>
      <c r="N56" s="22">
        <f t="shared" si="8"/>
        <v>1.7999999999999998</v>
      </c>
      <c r="O56" s="22">
        <f t="shared" si="8"/>
        <v>2</v>
      </c>
      <c r="P56" s="22">
        <f t="shared" si="8"/>
        <v>3</v>
      </c>
      <c r="Q56" s="22">
        <f t="shared" si="8"/>
        <v>4</v>
      </c>
      <c r="R56" s="22">
        <f t="shared" si="8"/>
        <v>4</v>
      </c>
      <c r="S56" s="22">
        <f t="shared" si="8"/>
        <v>1.7999999999999998</v>
      </c>
      <c r="T56" s="22">
        <f t="shared" si="8"/>
        <v>1.7999999999999998</v>
      </c>
      <c r="U56" s="22">
        <f t="shared" si="8"/>
        <v>3</v>
      </c>
      <c r="V56" s="22">
        <f t="shared" si="8"/>
        <v>4</v>
      </c>
      <c r="W56" s="22">
        <f t="shared" si="8"/>
        <v>3</v>
      </c>
      <c r="X56" s="22">
        <f t="shared" si="8"/>
        <v>2</v>
      </c>
      <c r="Y56" s="22">
        <f t="shared" si="8"/>
        <v>1</v>
      </c>
      <c r="Z56" s="22">
        <f t="shared" si="8"/>
        <v>2</v>
      </c>
    </row>
    <row r="57" spans="1:26" x14ac:dyDescent="0.3">
      <c r="A57" s="22">
        <f t="shared" si="1"/>
        <v>30.7</v>
      </c>
      <c r="B57" s="22">
        <f t="shared" si="2"/>
        <v>6.14</v>
      </c>
      <c r="C57" s="22">
        <f t="shared" si="3"/>
        <v>24.56</v>
      </c>
      <c r="D57" s="24" t="s">
        <v>57</v>
      </c>
      <c r="E57" s="24" t="s">
        <v>437</v>
      </c>
      <c r="F57" s="17" t="s">
        <v>60</v>
      </c>
      <c r="G57" s="22">
        <v>8</v>
      </c>
      <c r="H57" s="16">
        <v>0.18</v>
      </c>
      <c r="I57" s="22">
        <f t="shared" si="4"/>
        <v>1.44</v>
      </c>
      <c r="J57" s="22">
        <f t="shared" si="5"/>
        <v>9.44</v>
      </c>
      <c r="K57" s="22">
        <f t="shared" si="7"/>
        <v>0.8</v>
      </c>
      <c r="L57" s="22">
        <f t="shared" si="7"/>
        <v>0.48</v>
      </c>
      <c r="M57" s="22">
        <f t="shared" si="7"/>
        <v>0.48</v>
      </c>
      <c r="N57" s="22">
        <f t="shared" si="8"/>
        <v>0.72</v>
      </c>
      <c r="O57" s="22">
        <f t="shared" si="8"/>
        <v>0.8</v>
      </c>
      <c r="P57" s="22">
        <f t="shared" si="8"/>
        <v>1.2</v>
      </c>
      <c r="Q57" s="22">
        <f t="shared" si="8"/>
        <v>1.6</v>
      </c>
      <c r="R57" s="22">
        <f t="shared" si="8"/>
        <v>1.6</v>
      </c>
      <c r="S57" s="22">
        <f t="shared" si="8"/>
        <v>0.72</v>
      </c>
      <c r="T57" s="22">
        <f t="shared" si="8"/>
        <v>0.72</v>
      </c>
      <c r="U57" s="22">
        <f t="shared" si="8"/>
        <v>1.2</v>
      </c>
      <c r="V57" s="22">
        <f t="shared" si="8"/>
        <v>1.6</v>
      </c>
      <c r="W57" s="22">
        <f t="shared" si="8"/>
        <v>1.2</v>
      </c>
      <c r="X57" s="22">
        <f t="shared" si="8"/>
        <v>0.8</v>
      </c>
      <c r="Y57" s="22">
        <f t="shared" si="8"/>
        <v>0.4</v>
      </c>
      <c r="Z57" s="22">
        <f t="shared" si="8"/>
        <v>0.8</v>
      </c>
    </row>
    <row r="58" spans="1:26" x14ac:dyDescent="0.3">
      <c r="A58" s="22">
        <f t="shared" si="1"/>
        <v>49.887500000000017</v>
      </c>
      <c r="B58" s="22">
        <f t="shared" si="2"/>
        <v>9.9775000000000027</v>
      </c>
      <c r="C58" s="22">
        <f t="shared" si="3"/>
        <v>39.910000000000011</v>
      </c>
      <c r="D58" s="24" t="s">
        <v>57</v>
      </c>
      <c r="E58" s="24" t="s">
        <v>437</v>
      </c>
      <c r="F58" s="17" t="s">
        <v>61</v>
      </c>
      <c r="G58" s="22">
        <v>13</v>
      </c>
      <c r="H58" s="16">
        <v>0.18</v>
      </c>
      <c r="I58" s="22">
        <f t="shared" si="4"/>
        <v>2.34</v>
      </c>
      <c r="J58" s="22">
        <f t="shared" si="5"/>
        <v>15.34</v>
      </c>
      <c r="K58" s="22">
        <f t="shared" si="7"/>
        <v>1.3</v>
      </c>
      <c r="L58" s="22">
        <f t="shared" si="7"/>
        <v>0.78</v>
      </c>
      <c r="M58" s="22">
        <f t="shared" si="7"/>
        <v>0.78</v>
      </c>
      <c r="N58" s="22">
        <f t="shared" si="8"/>
        <v>1.17</v>
      </c>
      <c r="O58" s="22">
        <f t="shared" si="8"/>
        <v>1.3</v>
      </c>
      <c r="P58" s="22">
        <f t="shared" ref="N58:Z73" si="9">$G58*P$1</f>
        <v>1.95</v>
      </c>
      <c r="Q58" s="22">
        <f t="shared" si="9"/>
        <v>2.6</v>
      </c>
      <c r="R58" s="22">
        <f t="shared" si="9"/>
        <v>2.6</v>
      </c>
      <c r="S58" s="22">
        <f t="shared" si="9"/>
        <v>1.17</v>
      </c>
      <c r="T58" s="22">
        <f t="shared" si="9"/>
        <v>1.17</v>
      </c>
      <c r="U58" s="22">
        <f t="shared" si="9"/>
        <v>1.95</v>
      </c>
      <c r="V58" s="22">
        <f t="shared" si="9"/>
        <v>2.6</v>
      </c>
      <c r="W58" s="22">
        <f t="shared" si="9"/>
        <v>1.95</v>
      </c>
      <c r="X58" s="22">
        <f t="shared" si="9"/>
        <v>1.3</v>
      </c>
      <c r="Y58" s="22">
        <f t="shared" si="9"/>
        <v>0.65</v>
      </c>
      <c r="Z58" s="22">
        <f t="shared" si="9"/>
        <v>1.3</v>
      </c>
    </row>
    <row r="59" spans="1:26" x14ac:dyDescent="0.3">
      <c r="A59" s="22">
        <f t="shared" si="1"/>
        <v>978.56250000000023</v>
      </c>
      <c r="B59" s="22">
        <f t="shared" si="2"/>
        <v>195.71250000000003</v>
      </c>
      <c r="C59" s="22">
        <f t="shared" si="3"/>
        <v>782.85000000000014</v>
      </c>
      <c r="D59" s="24" t="s">
        <v>57</v>
      </c>
      <c r="E59" s="24" t="s">
        <v>437</v>
      </c>
      <c r="F59" s="17" t="s">
        <v>62</v>
      </c>
      <c r="G59" s="22">
        <v>255</v>
      </c>
      <c r="H59" s="16">
        <v>0.18</v>
      </c>
      <c r="I59" s="22">
        <f t="shared" si="4"/>
        <v>45.9</v>
      </c>
      <c r="J59" s="22">
        <f t="shared" si="5"/>
        <v>300.89999999999998</v>
      </c>
      <c r="K59" s="22">
        <f t="shared" si="7"/>
        <v>25.5</v>
      </c>
      <c r="L59" s="22">
        <f t="shared" si="7"/>
        <v>15.299999999999999</v>
      </c>
      <c r="M59" s="22">
        <f t="shared" si="7"/>
        <v>15.299999999999999</v>
      </c>
      <c r="N59" s="22">
        <f t="shared" si="9"/>
        <v>22.95</v>
      </c>
      <c r="O59" s="22">
        <f t="shared" si="9"/>
        <v>25.5</v>
      </c>
      <c r="P59" s="22">
        <f t="shared" si="9"/>
        <v>38.25</v>
      </c>
      <c r="Q59" s="22">
        <f t="shared" si="9"/>
        <v>51</v>
      </c>
      <c r="R59" s="22">
        <f t="shared" si="9"/>
        <v>51</v>
      </c>
      <c r="S59" s="22">
        <f t="shared" si="9"/>
        <v>22.95</v>
      </c>
      <c r="T59" s="22">
        <f t="shared" si="9"/>
        <v>22.95</v>
      </c>
      <c r="U59" s="22">
        <f t="shared" si="9"/>
        <v>38.25</v>
      </c>
      <c r="V59" s="22">
        <f t="shared" si="9"/>
        <v>51</v>
      </c>
      <c r="W59" s="22">
        <f t="shared" si="9"/>
        <v>38.25</v>
      </c>
      <c r="X59" s="22">
        <f t="shared" si="9"/>
        <v>25.5</v>
      </c>
      <c r="Y59" s="22">
        <f t="shared" si="9"/>
        <v>12.75</v>
      </c>
      <c r="Z59" s="22">
        <f t="shared" si="9"/>
        <v>25.5</v>
      </c>
    </row>
    <row r="60" spans="1:26" x14ac:dyDescent="0.3">
      <c r="A60" s="22">
        <f t="shared" si="1"/>
        <v>345.375</v>
      </c>
      <c r="B60" s="22">
        <f t="shared" si="2"/>
        <v>69.075000000000003</v>
      </c>
      <c r="C60" s="22">
        <f t="shared" si="3"/>
        <v>276.3</v>
      </c>
      <c r="D60" s="24" t="s">
        <v>57</v>
      </c>
      <c r="E60" s="24" t="s">
        <v>437</v>
      </c>
      <c r="F60" s="17" t="s">
        <v>63</v>
      </c>
      <c r="G60" s="22">
        <v>90</v>
      </c>
      <c r="H60" s="16">
        <v>0.18</v>
      </c>
      <c r="I60" s="22">
        <f t="shared" si="4"/>
        <v>16.2</v>
      </c>
      <c r="J60" s="22">
        <f t="shared" si="5"/>
        <v>106.2</v>
      </c>
      <c r="K60" s="22">
        <f t="shared" si="7"/>
        <v>9</v>
      </c>
      <c r="L60" s="22">
        <f t="shared" si="7"/>
        <v>5.3999999999999995</v>
      </c>
      <c r="M60" s="22">
        <f t="shared" si="7"/>
        <v>5.3999999999999995</v>
      </c>
      <c r="N60" s="22">
        <f t="shared" si="9"/>
        <v>8.1</v>
      </c>
      <c r="O60" s="22">
        <f t="shared" si="9"/>
        <v>9</v>
      </c>
      <c r="P60" s="22">
        <f t="shared" si="9"/>
        <v>13.5</v>
      </c>
      <c r="Q60" s="22">
        <f t="shared" si="9"/>
        <v>18</v>
      </c>
      <c r="R60" s="22">
        <f t="shared" si="9"/>
        <v>18</v>
      </c>
      <c r="S60" s="22">
        <f t="shared" si="9"/>
        <v>8.1</v>
      </c>
      <c r="T60" s="22">
        <f t="shared" si="9"/>
        <v>8.1</v>
      </c>
      <c r="U60" s="22">
        <f t="shared" si="9"/>
        <v>13.5</v>
      </c>
      <c r="V60" s="22">
        <f t="shared" si="9"/>
        <v>18</v>
      </c>
      <c r="W60" s="22">
        <f t="shared" si="9"/>
        <v>13.5</v>
      </c>
      <c r="X60" s="22">
        <f t="shared" si="9"/>
        <v>9</v>
      </c>
      <c r="Y60" s="22">
        <f t="shared" si="9"/>
        <v>4.5</v>
      </c>
      <c r="Z60" s="22">
        <f t="shared" si="9"/>
        <v>9</v>
      </c>
    </row>
    <row r="61" spans="1:26" x14ac:dyDescent="0.3">
      <c r="A61" s="22">
        <f t="shared" si="1"/>
        <v>479.6875</v>
      </c>
      <c r="B61" s="22">
        <f t="shared" si="2"/>
        <v>95.9375</v>
      </c>
      <c r="C61" s="22">
        <f t="shared" si="3"/>
        <v>383.75</v>
      </c>
      <c r="D61" s="24" t="s">
        <v>57</v>
      </c>
      <c r="E61" s="24" t="s">
        <v>437</v>
      </c>
      <c r="F61" s="17" t="s">
        <v>64</v>
      </c>
      <c r="G61" s="22">
        <v>125</v>
      </c>
      <c r="H61" s="16">
        <v>0.18</v>
      </c>
      <c r="I61" s="22">
        <f t="shared" si="4"/>
        <v>22.5</v>
      </c>
      <c r="J61" s="22">
        <f t="shared" si="5"/>
        <v>147.5</v>
      </c>
      <c r="K61" s="22">
        <f t="shared" si="7"/>
        <v>12.5</v>
      </c>
      <c r="L61" s="22">
        <f t="shared" si="7"/>
        <v>7.5</v>
      </c>
      <c r="M61" s="22">
        <f t="shared" si="7"/>
        <v>7.5</v>
      </c>
      <c r="N61" s="22">
        <f t="shared" si="9"/>
        <v>11.25</v>
      </c>
      <c r="O61" s="22">
        <f t="shared" si="9"/>
        <v>12.5</v>
      </c>
      <c r="P61" s="22">
        <f t="shared" si="9"/>
        <v>18.75</v>
      </c>
      <c r="Q61" s="22">
        <f t="shared" si="9"/>
        <v>25</v>
      </c>
      <c r="R61" s="22">
        <f t="shared" si="9"/>
        <v>25</v>
      </c>
      <c r="S61" s="22">
        <f t="shared" si="9"/>
        <v>11.25</v>
      </c>
      <c r="T61" s="22">
        <f t="shared" si="9"/>
        <v>11.25</v>
      </c>
      <c r="U61" s="22">
        <f t="shared" si="9"/>
        <v>18.75</v>
      </c>
      <c r="V61" s="22">
        <f t="shared" si="9"/>
        <v>25</v>
      </c>
      <c r="W61" s="22">
        <f t="shared" si="9"/>
        <v>18.75</v>
      </c>
      <c r="X61" s="22">
        <f t="shared" si="9"/>
        <v>12.5</v>
      </c>
      <c r="Y61" s="22">
        <f t="shared" si="9"/>
        <v>6.25</v>
      </c>
      <c r="Z61" s="22">
        <f t="shared" si="9"/>
        <v>12.5</v>
      </c>
    </row>
    <row r="62" spans="1:26" x14ac:dyDescent="0.3">
      <c r="A62" s="22">
        <f t="shared" si="1"/>
        <v>306.99999999999994</v>
      </c>
      <c r="B62" s="22">
        <f t="shared" si="2"/>
        <v>61.399999999999991</v>
      </c>
      <c r="C62" s="22">
        <f t="shared" si="3"/>
        <v>245.59999999999997</v>
      </c>
      <c r="D62" s="24" t="s">
        <v>57</v>
      </c>
      <c r="E62" s="24" t="s">
        <v>437</v>
      </c>
      <c r="F62" s="17" t="s">
        <v>65</v>
      </c>
      <c r="G62" s="22">
        <v>80</v>
      </c>
      <c r="H62" s="16">
        <v>0.18</v>
      </c>
      <c r="I62" s="22">
        <f t="shared" si="4"/>
        <v>14.399999999999999</v>
      </c>
      <c r="J62" s="22">
        <f t="shared" si="5"/>
        <v>94.4</v>
      </c>
      <c r="K62" s="22">
        <f t="shared" si="7"/>
        <v>8</v>
      </c>
      <c r="L62" s="22">
        <f t="shared" si="7"/>
        <v>4.8</v>
      </c>
      <c r="M62" s="22">
        <f t="shared" si="7"/>
        <v>4.8</v>
      </c>
      <c r="N62" s="22">
        <f t="shared" si="9"/>
        <v>7.1999999999999993</v>
      </c>
      <c r="O62" s="22">
        <f t="shared" si="9"/>
        <v>8</v>
      </c>
      <c r="P62" s="22">
        <f t="shared" si="9"/>
        <v>12</v>
      </c>
      <c r="Q62" s="22">
        <f t="shared" si="9"/>
        <v>16</v>
      </c>
      <c r="R62" s="22">
        <f t="shared" si="9"/>
        <v>16</v>
      </c>
      <c r="S62" s="22">
        <f t="shared" si="9"/>
        <v>7.1999999999999993</v>
      </c>
      <c r="T62" s="22">
        <f t="shared" si="9"/>
        <v>7.1999999999999993</v>
      </c>
      <c r="U62" s="22">
        <f t="shared" si="9"/>
        <v>12</v>
      </c>
      <c r="V62" s="22">
        <f t="shared" si="9"/>
        <v>16</v>
      </c>
      <c r="W62" s="22">
        <f t="shared" si="9"/>
        <v>12</v>
      </c>
      <c r="X62" s="22">
        <f t="shared" si="9"/>
        <v>8</v>
      </c>
      <c r="Y62" s="22">
        <f t="shared" si="9"/>
        <v>4</v>
      </c>
      <c r="Z62" s="22">
        <f t="shared" si="9"/>
        <v>8</v>
      </c>
    </row>
    <row r="63" spans="1:26" x14ac:dyDescent="0.3">
      <c r="A63" s="22">
        <f t="shared" si="1"/>
        <v>318.51249999999999</v>
      </c>
      <c r="B63" s="22">
        <f t="shared" si="2"/>
        <v>63.702499999999993</v>
      </c>
      <c r="C63" s="22">
        <f t="shared" si="3"/>
        <v>254.80999999999997</v>
      </c>
      <c r="D63" s="24" t="s">
        <v>57</v>
      </c>
      <c r="E63" s="24" t="s">
        <v>437</v>
      </c>
      <c r="F63" s="17" t="s">
        <v>66</v>
      </c>
      <c r="G63" s="22">
        <v>83</v>
      </c>
      <c r="H63" s="16">
        <v>0.18</v>
      </c>
      <c r="I63" s="22">
        <f t="shared" si="4"/>
        <v>14.94</v>
      </c>
      <c r="J63" s="22">
        <f t="shared" si="5"/>
        <v>97.94</v>
      </c>
      <c r="K63" s="22">
        <f t="shared" si="7"/>
        <v>8.3000000000000007</v>
      </c>
      <c r="L63" s="22">
        <f t="shared" si="7"/>
        <v>4.9799999999999995</v>
      </c>
      <c r="M63" s="22">
        <f t="shared" si="7"/>
        <v>4.9799999999999995</v>
      </c>
      <c r="N63" s="22">
        <f t="shared" si="9"/>
        <v>7.47</v>
      </c>
      <c r="O63" s="22">
        <f t="shared" si="9"/>
        <v>8.3000000000000007</v>
      </c>
      <c r="P63" s="22">
        <f t="shared" si="9"/>
        <v>12.45</v>
      </c>
      <c r="Q63" s="22">
        <f t="shared" si="9"/>
        <v>16.600000000000001</v>
      </c>
      <c r="R63" s="22">
        <f t="shared" si="9"/>
        <v>16.600000000000001</v>
      </c>
      <c r="S63" s="22">
        <f t="shared" si="9"/>
        <v>7.47</v>
      </c>
      <c r="T63" s="22">
        <f t="shared" si="9"/>
        <v>7.47</v>
      </c>
      <c r="U63" s="22">
        <f t="shared" si="9"/>
        <v>12.45</v>
      </c>
      <c r="V63" s="22">
        <f t="shared" si="9"/>
        <v>16.600000000000001</v>
      </c>
      <c r="W63" s="22">
        <f t="shared" si="9"/>
        <v>12.45</v>
      </c>
      <c r="X63" s="22">
        <f t="shared" si="9"/>
        <v>8.3000000000000007</v>
      </c>
      <c r="Y63" s="22">
        <f t="shared" si="9"/>
        <v>4.1500000000000004</v>
      </c>
      <c r="Z63" s="22">
        <f t="shared" si="9"/>
        <v>8.3000000000000007</v>
      </c>
    </row>
    <row r="64" spans="1:26" x14ac:dyDescent="0.3">
      <c r="A64" s="22">
        <f t="shared" si="1"/>
        <v>1573.3749999999998</v>
      </c>
      <c r="B64" s="22">
        <f t="shared" si="2"/>
        <v>314.67499999999995</v>
      </c>
      <c r="C64" s="22">
        <f t="shared" si="3"/>
        <v>1258.6999999999998</v>
      </c>
      <c r="D64" s="24" t="s">
        <v>57</v>
      </c>
      <c r="E64" s="24" t="s">
        <v>437</v>
      </c>
      <c r="F64" s="17" t="s">
        <v>67</v>
      </c>
      <c r="G64" s="22">
        <v>410</v>
      </c>
      <c r="H64" s="16">
        <v>0.18</v>
      </c>
      <c r="I64" s="22">
        <f t="shared" si="4"/>
        <v>73.8</v>
      </c>
      <c r="J64" s="22">
        <f t="shared" si="5"/>
        <v>483.8</v>
      </c>
      <c r="K64" s="22">
        <f t="shared" si="7"/>
        <v>41</v>
      </c>
      <c r="L64" s="22">
        <f t="shared" si="7"/>
        <v>24.599999999999998</v>
      </c>
      <c r="M64" s="22">
        <f t="shared" si="7"/>
        <v>24.599999999999998</v>
      </c>
      <c r="N64" s="22">
        <f t="shared" si="9"/>
        <v>36.9</v>
      </c>
      <c r="O64" s="22">
        <f t="shared" si="9"/>
        <v>41</v>
      </c>
      <c r="P64" s="22">
        <f t="shared" si="9"/>
        <v>61.5</v>
      </c>
      <c r="Q64" s="22">
        <f t="shared" si="9"/>
        <v>82</v>
      </c>
      <c r="R64" s="22">
        <f t="shared" si="9"/>
        <v>82</v>
      </c>
      <c r="S64" s="22">
        <f t="shared" si="9"/>
        <v>36.9</v>
      </c>
      <c r="T64" s="22">
        <f t="shared" si="9"/>
        <v>36.9</v>
      </c>
      <c r="U64" s="22">
        <f t="shared" si="9"/>
        <v>61.5</v>
      </c>
      <c r="V64" s="22">
        <f t="shared" si="9"/>
        <v>82</v>
      </c>
      <c r="W64" s="22">
        <f t="shared" si="9"/>
        <v>61.5</v>
      </c>
      <c r="X64" s="22">
        <f t="shared" si="9"/>
        <v>41</v>
      </c>
      <c r="Y64" s="22">
        <f t="shared" si="9"/>
        <v>20.5</v>
      </c>
      <c r="Z64" s="22">
        <f t="shared" si="9"/>
        <v>41</v>
      </c>
    </row>
    <row r="65" spans="1:26" x14ac:dyDescent="0.3">
      <c r="A65" s="22">
        <f t="shared" si="1"/>
        <v>1937.9375</v>
      </c>
      <c r="B65" s="22">
        <f t="shared" si="2"/>
        <v>387.58749999999998</v>
      </c>
      <c r="C65" s="22">
        <f t="shared" si="3"/>
        <v>1550.35</v>
      </c>
      <c r="D65" s="24" t="s">
        <v>57</v>
      </c>
      <c r="E65" s="24" t="s">
        <v>437</v>
      </c>
      <c r="F65" s="17" t="s">
        <v>68</v>
      </c>
      <c r="G65" s="22">
        <v>505</v>
      </c>
      <c r="H65" s="16">
        <v>0.18</v>
      </c>
      <c r="I65" s="22">
        <f t="shared" si="4"/>
        <v>90.899999999999991</v>
      </c>
      <c r="J65" s="22">
        <f t="shared" si="5"/>
        <v>595.9</v>
      </c>
      <c r="K65" s="22">
        <f t="shared" si="7"/>
        <v>50.5</v>
      </c>
      <c r="L65" s="22">
        <f t="shared" si="7"/>
        <v>30.299999999999997</v>
      </c>
      <c r="M65" s="22">
        <f t="shared" si="7"/>
        <v>30.299999999999997</v>
      </c>
      <c r="N65" s="22">
        <f t="shared" si="9"/>
        <v>45.449999999999996</v>
      </c>
      <c r="O65" s="22">
        <f t="shared" si="9"/>
        <v>50.5</v>
      </c>
      <c r="P65" s="22">
        <f t="shared" si="9"/>
        <v>75.75</v>
      </c>
      <c r="Q65" s="22">
        <f t="shared" si="9"/>
        <v>101</v>
      </c>
      <c r="R65" s="22">
        <f t="shared" si="9"/>
        <v>101</v>
      </c>
      <c r="S65" s="22">
        <f t="shared" si="9"/>
        <v>45.449999999999996</v>
      </c>
      <c r="T65" s="22">
        <f t="shared" si="9"/>
        <v>45.449999999999996</v>
      </c>
      <c r="U65" s="22">
        <f t="shared" si="9"/>
        <v>75.75</v>
      </c>
      <c r="V65" s="22">
        <f t="shared" si="9"/>
        <v>101</v>
      </c>
      <c r="W65" s="22">
        <f t="shared" si="9"/>
        <v>75.75</v>
      </c>
      <c r="X65" s="22">
        <f t="shared" si="9"/>
        <v>50.5</v>
      </c>
      <c r="Y65" s="22">
        <f t="shared" si="9"/>
        <v>25.25</v>
      </c>
      <c r="Z65" s="22">
        <f t="shared" si="9"/>
        <v>50.5</v>
      </c>
    </row>
    <row r="66" spans="1:26" x14ac:dyDescent="0.3">
      <c r="A66" s="22">
        <f t="shared" si="1"/>
        <v>268.62500000000006</v>
      </c>
      <c r="B66" s="22">
        <f t="shared" si="2"/>
        <v>53.725000000000009</v>
      </c>
      <c r="C66" s="22">
        <f t="shared" si="3"/>
        <v>214.90000000000003</v>
      </c>
      <c r="D66" s="24" t="s">
        <v>57</v>
      </c>
      <c r="E66" s="24" t="s">
        <v>437</v>
      </c>
      <c r="F66" s="17" t="s">
        <v>69</v>
      </c>
      <c r="G66" s="22">
        <v>70</v>
      </c>
      <c r="H66" s="16">
        <v>0.18</v>
      </c>
      <c r="I66" s="22">
        <f t="shared" si="4"/>
        <v>12.6</v>
      </c>
      <c r="J66" s="22">
        <f t="shared" si="5"/>
        <v>82.6</v>
      </c>
      <c r="K66" s="22">
        <f t="shared" si="7"/>
        <v>7</v>
      </c>
      <c r="L66" s="22">
        <f t="shared" si="7"/>
        <v>4.2</v>
      </c>
      <c r="M66" s="22">
        <f t="shared" si="7"/>
        <v>4.2</v>
      </c>
      <c r="N66" s="22">
        <f t="shared" si="9"/>
        <v>6.3</v>
      </c>
      <c r="O66" s="22">
        <f t="shared" si="9"/>
        <v>7</v>
      </c>
      <c r="P66" s="22">
        <f t="shared" si="9"/>
        <v>10.5</v>
      </c>
      <c r="Q66" s="22">
        <f t="shared" si="9"/>
        <v>14</v>
      </c>
      <c r="R66" s="22">
        <f t="shared" si="9"/>
        <v>14</v>
      </c>
      <c r="S66" s="22">
        <f t="shared" si="9"/>
        <v>6.3</v>
      </c>
      <c r="T66" s="22">
        <f t="shared" si="9"/>
        <v>6.3</v>
      </c>
      <c r="U66" s="22">
        <f t="shared" si="9"/>
        <v>10.5</v>
      </c>
      <c r="V66" s="22">
        <f t="shared" si="9"/>
        <v>14</v>
      </c>
      <c r="W66" s="22">
        <f t="shared" si="9"/>
        <v>10.5</v>
      </c>
      <c r="X66" s="22">
        <f t="shared" si="9"/>
        <v>7</v>
      </c>
      <c r="Y66" s="22">
        <f t="shared" si="9"/>
        <v>3.5</v>
      </c>
      <c r="Z66" s="22">
        <f t="shared" si="9"/>
        <v>7</v>
      </c>
    </row>
    <row r="67" spans="1:26" x14ac:dyDescent="0.3">
      <c r="A67" s="22">
        <f t="shared" si="1"/>
        <v>230.25</v>
      </c>
      <c r="B67" s="22">
        <f t="shared" si="2"/>
        <v>46.05</v>
      </c>
      <c r="C67" s="22">
        <f t="shared" si="3"/>
        <v>184.2</v>
      </c>
      <c r="D67" s="24" t="s">
        <v>57</v>
      </c>
      <c r="E67" s="24" t="s">
        <v>437</v>
      </c>
      <c r="F67" s="17" t="s">
        <v>70</v>
      </c>
      <c r="G67" s="22">
        <v>60</v>
      </c>
      <c r="H67" s="16">
        <v>0.18</v>
      </c>
      <c r="I67" s="22">
        <f t="shared" si="4"/>
        <v>10.799999999999999</v>
      </c>
      <c r="J67" s="22">
        <f t="shared" si="5"/>
        <v>70.8</v>
      </c>
      <c r="K67" s="22">
        <f t="shared" si="7"/>
        <v>6</v>
      </c>
      <c r="L67" s="22">
        <f t="shared" si="7"/>
        <v>3.5999999999999996</v>
      </c>
      <c r="M67" s="22">
        <f t="shared" si="7"/>
        <v>3.5999999999999996</v>
      </c>
      <c r="N67" s="22">
        <f t="shared" si="9"/>
        <v>5.3999999999999995</v>
      </c>
      <c r="O67" s="22">
        <f t="shared" si="9"/>
        <v>6</v>
      </c>
      <c r="P67" s="22">
        <f t="shared" si="9"/>
        <v>9</v>
      </c>
      <c r="Q67" s="22">
        <f t="shared" si="9"/>
        <v>12</v>
      </c>
      <c r="R67" s="22">
        <f t="shared" si="9"/>
        <v>12</v>
      </c>
      <c r="S67" s="22">
        <f t="shared" si="9"/>
        <v>5.3999999999999995</v>
      </c>
      <c r="T67" s="22">
        <f t="shared" si="9"/>
        <v>5.3999999999999995</v>
      </c>
      <c r="U67" s="22">
        <f t="shared" si="9"/>
        <v>9</v>
      </c>
      <c r="V67" s="22">
        <f t="shared" si="9"/>
        <v>12</v>
      </c>
      <c r="W67" s="22">
        <f t="shared" si="9"/>
        <v>9</v>
      </c>
      <c r="X67" s="22">
        <f t="shared" si="9"/>
        <v>6</v>
      </c>
      <c r="Y67" s="22">
        <f t="shared" si="9"/>
        <v>3</v>
      </c>
      <c r="Z67" s="22">
        <f t="shared" si="9"/>
        <v>6</v>
      </c>
    </row>
    <row r="68" spans="1:26" x14ac:dyDescent="0.3">
      <c r="A68" s="22">
        <f t="shared" ref="A68:A131" si="10">B68+C68</f>
        <v>115.125</v>
      </c>
      <c r="B68" s="22">
        <f t="shared" ref="B68:B131" si="11">C68*$B$1</f>
        <v>23.024999999999999</v>
      </c>
      <c r="C68" s="22">
        <f t="shared" ref="C68:C131" si="12">SUM(J68:Z68)</f>
        <v>92.1</v>
      </c>
      <c r="D68" s="24" t="s">
        <v>57</v>
      </c>
      <c r="E68" s="24" t="s">
        <v>437</v>
      </c>
      <c r="F68" s="17" t="s">
        <v>71</v>
      </c>
      <c r="G68" s="22">
        <v>30</v>
      </c>
      <c r="H68" s="16">
        <v>0.18</v>
      </c>
      <c r="I68" s="22">
        <f t="shared" ref="I68:I131" si="13">G68*H68</f>
        <v>5.3999999999999995</v>
      </c>
      <c r="J68" s="22">
        <f t="shared" ref="J68:J131" si="14">G68+I68</f>
        <v>35.4</v>
      </c>
      <c r="K68" s="22">
        <f t="shared" si="7"/>
        <v>3</v>
      </c>
      <c r="L68" s="22">
        <f t="shared" si="7"/>
        <v>1.7999999999999998</v>
      </c>
      <c r="M68" s="22">
        <f t="shared" si="7"/>
        <v>1.7999999999999998</v>
      </c>
      <c r="N68" s="22">
        <f t="shared" si="9"/>
        <v>2.6999999999999997</v>
      </c>
      <c r="O68" s="22">
        <f t="shared" si="9"/>
        <v>3</v>
      </c>
      <c r="P68" s="22">
        <f t="shared" si="9"/>
        <v>4.5</v>
      </c>
      <c r="Q68" s="22">
        <f t="shared" si="9"/>
        <v>6</v>
      </c>
      <c r="R68" s="22">
        <f t="shared" si="9"/>
        <v>6</v>
      </c>
      <c r="S68" s="22">
        <f t="shared" si="9"/>
        <v>2.6999999999999997</v>
      </c>
      <c r="T68" s="22">
        <f t="shared" si="9"/>
        <v>2.6999999999999997</v>
      </c>
      <c r="U68" s="22">
        <f t="shared" si="9"/>
        <v>4.5</v>
      </c>
      <c r="V68" s="22">
        <f t="shared" si="9"/>
        <v>6</v>
      </c>
      <c r="W68" s="22">
        <f t="shared" si="9"/>
        <v>4.5</v>
      </c>
      <c r="X68" s="22">
        <f t="shared" si="9"/>
        <v>3</v>
      </c>
      <c r="Y68" s="22">
        <f t="shared" si="9"/>
        <v>1.5</v>
      </c>
      <c r="Z68" s="22">
        <f t="shared" si="9"/>
        <v>3</v>
      </c>
    </row>
    <row r="69" spans="1:26" x14ac:dyDescent="0.3">
      <c r="A69" s="22">
        <f t="shared" si="10"/>
        <v>287.8125</v>
      </c>
      <c r="B69" s="22">
        <f t="shared" si="11"/>
        <v>57.5625</v>
      </c>
      <c r="C69" s="22">
        <f t="shared" si="12"/>
        <v>230.25</v>
      </c>
      <c r="D69" s="24" t="s">
        <v>72</v>
      </c>
      <c r="E69" s="24" t="s">
        <v>437</v>
      </c>
      <c r="F69" s="17" t="s">
        <v>73</v>
      </c>
      <c r="G69" s="22">
        <v>75</v>
      </c>
      <c r="H69" s="16">
        <v>0.18</v>
      </c>
      <c r="I69" s="22">
        <f t="shared" si="13"/>
        <v>13.5</v>
      </c>
      <c r="J69" s="22">
        <f t="shared" si="14"/>
        <v>88.5</v>
      </c>
      <c r="K69" s="22">
        <f t="shared" si="7"/>
        <v>7.5</v>
      </c>
      <c r="L69" s="22">
        <f t="shared" si="7"/>
        <v>4.5</v>
      </c>
      <c r="M69" s="22">
        <f t="shared" si="7"/>
        <v>4.5</v>
      </c>
      <c r="N69" s="22">
        <f t="shared" si="9"/>
        <v>6.75</v>
      </c>
      <c r="O69" s="22">
        <f t="shared" si="9"/>
        <v>7.5</v>
      </c>
      <c r="P69" s="22">
        <f t="shared" si="9"/>
        <v>11.25</v>
      </c>
      <c r="Q69" s="22">
        <f t="shared" si="9"/>
        <v>15</v>
      </c>
      <c r="R69" s="22">
        <f t="shared" si="9"/>
        <v>15</v>
      </c>
      <c r="S69" s="22">
        <f t="shared" si="9"/>
        <v>6.75</v>
      </c>
      <c r="T69" s="22">
        <f t="shared" si="9"/>
        <v>6.75</v>
      </c>
      <c r="U69" s="22">
        <f t="shared" si="9"/>
        <v>11.25</v>
      </c>
      <c r="V69" s="22">
        <f t="shared" si="9"/>
        <v>15</v>
      </c>
      <c r="W69" s="22">
        <f t="shared" si="9"/>
        <v>11.25</v>
      </c>
      <c r="X69" s="22">
        <f t="shared" si="9"/>
        <v>7.5</v>
      </c>
      <c r="Y69" s="22">
        <f t="shared" si="9"/>
        <v>3.75</v>
      </c>
      <c r="Z69" s="22">
        <f t="shared" si="9"/>
        <v>7.5</v>
      </c>
    </row>
    <row r="70" spans="1:26" x14ac:dyDescent="0.3">
      <c r="A70" s="22">
        <f t="shared" si="10"/>
        <v>287.8125</v>
      </c>
      <c r="B70" s="22">
        <f t="shared" si="11"/>
        <v>57.5625</v>
      </c>
      <c r="C70" s="22">
        <f t="shared" si="12"/>
        <v>230.25</v>
      </c>
      <c r="D70" s="24" t="s">
        <v>72</v>
      </c>
      <c r="E70" s="24" t="s">
        <v>437</v>
      </c>
      <c r="F70" s="17" t="s">
        <v>74</v>
      </c>
      <c r="G70" s="22">
        <v>75</v>
      </c>
      <c r="H70" s="16">
        <v>0.18</v>
      </c>
      <c r="I70" s="22">
        <f t="shared" si="13"/>
        <v>13.5</v>
      </c>
      <c r="J70" s="22">
        <f t="shared" si="14"/>
        <v>88.5</v>
      </c>
      <c r="K70" s="22">
        <f t="shared" si="7"/>
        <v>7.5</v>
      </c>
      <c r="L70" s="22">
        <f t="shared" si="7"/>
        <v>4.5</v>
      </c>
      <c r="M70" s="22">
        <f t="shared" si="7"/>
        <v>4.5</v>
      </c>
      <c r="N70" s="22">
        <f t="shared" si="9"/>
        <v>6.75</v>
      </c>
      <c r="O70" s="22">
        <f t="shared" si="9"/>
        <v>7.5</v>
      </c>
      <c r="P70" s="22">
        <f t="shared" si="9"/>
        <v>11.25</v>
      </c>
      <c r="Q70" s="22">
        <f t="shared" si="9"/>
        <v>15</v>
      </c>
      <c r="R70" s="22">
        <f t="shared" si="9"/>
        <v>15</v>
      </c>
      <c r="S70" s="22">
        <f t="shared" si="9"/>
        <v>6.75</v>
      </c>
      <c r="T70" s="22">
        <f t="shared" si="9"/>
        <v>6.75</v>
      </c>
      <c r="U70" s="22">
        <f t="shared" si="9"/>
        <v>11.25</v>
      </c>
      <c r="V70" s="22">
        <f t="shared" si="9"/>
        <v>15</v>
      </c>
      <c r="W70" s="22">
        <f t="shared" si="9"/>
        <v>11.25</v>
      </c>
      <c r="X70" s="22">
        <f t="shared" si="9"/>
        <v>7.5</v>
      </c>
      <c r="Y70" s="22">
        <f t="shared" si="9"/>
        <v>3.75</v>
      </c>
      <c r="Z70" s="22">
        <f t="shared" si="9"/>
        <v>7.5</v>
      </c>
    </row>
    <row r="71" spans="1:26" x14ac:dyDescent="0.3">
      <c r="A71" s="22">
        <f t="shared" si="10"/>
        <v>422.12500000000006</v>
      </c>
      <c r="B71" s="22">
        <f t="shared" si="11"/>
        <v>84.425000000000011</v>
      </c>
      <c r="C71" s="22">
        <f t="shared" si="12"/>
        <v>337.70000000000005</v>
      </c>
      <c r="D71" s="24" t="s">
        <v>72</v>
      </c>
      <c r="E71" s="24" t="s">
        <v>437</v>
      </c>
      <c r="F71" s="17" t="s">
        <v>75</v>
      </c>
      <c r="G71" s="22">
        <v>110</v>
      </c>
      <c r="H71" s="16">
        <v>0.18</v>
      </c>
      <c r="I71" s="22">
        <f t="shared" si="13"/>
        <v>19.8</v>
      </c>
      <c r="J71" s="22">
        <f t="shared" si="14"/>
        <v>129.80000000000001</v>
      </c>
      <c r="K71" s="22">
        <f t="shared" si="7"/>
        <v>11</v>
      </c>
      <c r="L71" s="22">
        <f t="shared" si="7"/>
        <v>6.6</v>
      </c>
      <c r="M71" s="22">
        <f t="shared" si="7"/>
        <v>6.6</v>
      </c>
      <c r="N71" s="22">
        <f t="shared" si="9"/>
        <v>9.9</v>
      </c>
      <c r="O71" s="22">
        <f t="shared" si="9"/>
        <v>11</v>
      </c>
      <c r="P71" s="22">
        <f t="shared" si="9"/>
        <v>16.5</v>
      </c>
      <c r="Q71" s="22">
        <f t="shared" si="9"/>
        <v>22</v>
      </c>
      <c r="R71" s="22">
        <f t="shared" si="9"/>
        <v>22</v>
      </c>
      <c r="S71" s="22">
        <f t="shared" si="9"/>
        <v>9.9</v>
      </c>
      <c r="T71" s="22">
        <f t="shared" si="9"/>
        <v>9.9</v>
      </c>
      <c r="U71" s="22">
        <f t="shared" si="9"/>
        <v>16.5</v>
      </c>
      <c r="V71" s="22">
        <f t="shared" si="9"/>
        <v>22</v>
      </c>
      <c r="W71" s="22">
        <f t="shared" si="9"/>
        <v>16.5</v>
      </c>
      <c r="X71" s="22">
        <f t="shared" si="9"/>
        <v>11</v>
      </c>
      <c r="Y71" s="22">
        <f t="shared" si="9"/>
        <v>5.5</v>
      </c>
      <c r="Z71" s="22">
        <f t="shared" si="9"/>
        <v>11</v>
      </c>
    </row>
    <row r="72" spans="1:26" x14ac:dyDescent="0.3">
      <c r="A72" s="22">
        <f t="shared" si="10"/>
        <v>241.76249999999996</v>
      </c>
      <c r="B72" s="22">
        <f t="shared" si="11"/>
        <v>48.352499999999992</v>
      </c>
      <c r="C72" s="22">
        <f t="shared" si="12"/>
        <v>193.40999999999997</v>
      </c>
      <c r="D72" s="24" t="s">
        <v>72</v>
      </c>
      <c r="E72" s="24" t="s">
        <v>437</v>
      </c>
      <c r="F72" s="17" t="s">
        <v>76</v>
      </c>
      <c r="G72" s="22">
        <v>63</v>
      </c>
      <c r="H72" s="16">
        <v>0.18</v>
      </c>
      <c r="I72" s="22">
        <f t="shared" si="13"/>
        <v>11.34</v>
      </c>
      <c r="J72" s="22">
        <f t="shared" si="14"/>
        <v>74.34</v>
      </c>
      <c r="K72" s="22">
        <f t="shared" si="7"/>
        <v>6.3000000000000007</v>
      </c>
      <c r="L72" s="22">
        <f t="shared" si="7"/>
        <v>3.78</v>
      </c>
      <c r="M72" s="22">
        <f t="shared" si="7"/>
        <v>3.78</v>
      </c>
      <c r="N72" s="22">
        <f t="shared" si="9"/>
        <v>5.67</v>
      </c>
      <c r="O72" s="22">
        <f t="shared" si="9"/>
        <v>6.3000000000000007</v>
      </c>
      <c r="P72" s="22">
        <f t="shared" si="9"/>
        <v>9.4499999999999993</v>
      </c>
      <c r="Q72" s="22">
        <f t="shared" si="9"/>
        <v>12.600000000000001</v>
      </c>
      <c r="R72" s="22">
        <f t="shared" si="9"/>
        <v>12.600000000000001</v>
      </c>
      <c r="S72" s="22">
        <f t="shared" si="9"/>
        <v>5.67</v>
      </c>
      <c r="T72" s="22">
        <f t="shared" si="9"/>
        <v>5.67</v>
      </c>
      <c r="U72" s="22">
        <f t="shared" si="9"/>
        <v>9.4499999999999993</v>
      </c>
      <c r="V72" s="22">
        <f t="shared" si="9"/>
        <v>12.600000000000001</v>
      </c>
      <c r="W72" s="22">
        <f t="shared" si="9"/>
        <v>9.4499999999999993</v>
      </c>
      <c r="X72" s="22">
        <f t="shared" si="9"/>
        <v>6.3000000000000007</v>
      </c>
      <c r="Y72" s="22">
        <f t="shared" si="9"/>
        <v>3.1500000000000004</v>
      </c>
      <c r="Z72" s="22">
        <f t="shared" si="9"/>
        <v>6.3000000000000007</v>
      </c>
    </row>
    <row r="73" spans="1:26" x14ac:dyDescent="0.3">
      <c r="A73" s="22">
        <f t="shared" si="10"/>
        <v>95.9375</v>
      </c>
      <c r="B73" s="22">
        <f t="shared" si="11"/>
        <v>19.1875</v>
      </c>
      <c r="C73" s="22">
        <f t="shared" si="12"/>
        <v>76.75</v>
      </c>
      <c r="D73" s="24" t="s">
        <v>72</v>
      </c>
      <c r="E73" s="24" t="s">
        <v>437</v>
      </c>
      <c r="F73" s="17" t="s">
        <v>77</v>
      </c>
      <c r="G73" s="22">
        <v>25</v>
      </c>
      <c r="H73" s="16">
        <v>0.18</v>
      </c>
      <c r="I73" s="22">
        <f t="shared" si="13"/>
        <v>4.5</v>
      </c>
      <c r="J73" s="22">
        <f t="shared" si="14"/>
        <v>29.5</v>
      </c>
      <c r="K73" s="22">
        <f t="shared" si="7"/>
        <v>2.5</v>
      </c>
      <c r="L73" s="22">
        <f t="shared" si="7"/>
        <v>1.5</v>
      </c>
      <c r="M73" s="22">
        <f t="shared" si="7"/>
        <v>1.5</v>
      </c>
      <c r="N73" s="22">
        <f t="shared" si="9"/>
        <v>2.25</v>
      </c>
      <c r="O73" s="22">
        <f t="shared" si="9"/>
        <v>2.5</v>
      </c>
      <c r="P73" s="22">
        <f t="shared" si="9"/>
        <v>3.75</v>
      </c>
      <c r="Q73" s="22">
        <f t="shared" si="9"/>
        <v>5</v>
      </c>
      <c r="R73" s="22">
        <f t="shared" si="9"/>
        <v>5</v>
      </c>
      <c r="S73" s="22">
        <f t="shared" si="9"/>
        <v>2.25</v>
      </c>
      <c r="T73" s="22">
        <f t="shared" si="9"/>
        <v>2.25</v>
      </c>
      <c r="U73" s="22">
        <f t="shared" si="9"/>
        <v>3.75</v>
      </c>
      <c r="V73" s="22">
        <f t="shared" si="9"/>
        <v>5</v>
      </c>
      <c r="W73" s="22">
        <f t="shared" si="9"/>
        <v>3.75</v>
      </c>
      <c r="X73" s="22">
        <f t="shared" si="9"/>
        <v>2.5</v>
      </c>
      <c r="Y73" s="22">
        <f t="shared" si="9"/>
        <v>1.25</v>
      </c>
      <c r="Z73" s="22">
        <f t="shared" si="9"/>
        <v>2.5</v>
      </c>
    </row>
    <row r="74" spans="1:26" x14ac:dyDescent="0.3">
      <c r="A74" s="22">
        <f t="shared" si="10"/>
        <v>211.06250000000003</v>
      </c>
      <c r="B74" s="22">
        <f t="shared" si="11"/>
        <v>42.212500000000006</v>
      </c>
      <c r="C74" s="22">
        <f t="shared" si="12"/>
        <v>168.85000000000002</v>
      </c>
      <c r="D74" s="24" t="s">
        <v>72</v>
      </c>
      <c r="E74" s="24" t="s">
        <v>437</v>
      </c>
      <c r="F74" s="17" t="s">
        <v>78</v>
      </c>
      <c r="G74" s="22">
        <v>55</v>
      </c>
      <c r="H74" s="16">
        <v>0.18</v>
      </c>
      <c r="I74" s="22">
        <f t="shared" si="13"/>
        <v>9.9</v>
      </c>
      <c r="J74" s="22">
        <f t="shared" si="14"/>
        <v>64.900000000000006</v>
      </c>
      <c r="K74" s="22">
        <f t="shared" si="7"/>
        <v>5.5</v>
      </c>
      <c r="L74" s="22">
        <f t="shared" si="7"/>
        <v>3.3</v>
      </c>
      <c r="M74" s="22">
        <f t="shared" si="7"/>
        <v>3.3</v>
      </c>
      <c r="N74" s="22">
        <f t="shared" si="7"/>
        <v>4.95</v>
      </c>
      <c r="O74" s="22">
        <f t="shared" si="7"/>
        <v>5.5</v>
      </c>
      <c r="P74" s="22">
        <f t="shared" si="7"/>
        <v>8.25</v>
      </c>
      <c r="Q74" s="22">
        <f t="shared" si="7"/>
        <v>11</v>
      </c>
      <c r="R74" s="22">
        <f t="shared" si="7"/>
        <v>11</v>
      </c>
      <c r="S74" s="22">
        <f t="shared" si="7"/>
        <v>4.95</v>
      </c>
      <c r="T74" s="22">
        <f t="shared" si="7"/>
        <v>4.95</v>
      </c>
      <c r="U74" s="22">
        <f t="shared" si="7"/>
        <v>8.25</v>
      </c>
      <c r="V74" s="22">
        <f t="shared" si="7"/>
        <v>11</v>
      </c>
      <c r="W74" s="22">
        <f t="shared" si="7"/>
        <v>8.25</v>
      </c>
      <c r="X74" s="22">
        <f t="shared" si="7"/>
        <v>5.5</v>
      </c>
      <c r="Y74" s="22">
        <f t="shared" si="7"/>
        <v>2.75</v>
      </c>
      <c r="Z74" s="22">
        <f t="shared" si="7"/>
        <v>5.5</v>
      </c>
    </row>
    <row r="75" spans="1:26" x14ac:dyDescent="0.3">
      <c r="A75" s="22">
        <f t="shared" si="10"/>
        <v>805.875</v>
      </c>
      <c r="B75" s="22">
        <f t="shared" si="11"/>
        <v>161.17500000000001</v>
      </c>
      <c r="C75" s="22">
        <f t="shared" si="12"/>
        <v>644.70000000000005</v>
      </c>
      <c r="D75" s="24" t="s">
        <v>72</v>
      </c>
      <c r="E75" s="24" t="s">
        <v>437</v>
      </c>
      <c r="F75" s="17" t="s">
        <v>79</v>
      </c>
      <c r="G75" s="22">
        <v>210</v>
      </c>
      <c r="H75" s="16">
        <v>0.18</v>
      </c>
      <c r="I75" s="22">
        <f t="shared" si="13"/>
        <v>37.799999999999997</v>
      </c>
      <c r="J75" s="22">
        <f t="shared" si="14"/>
        <v>247.8</v>
      </c>
      <c r="K75" s="22">
        <f t="shared" si="7"/>
        <v>21</v>
      </c>
      <c r="L75" s="22">
        <f t="shared" si="7"/>
        <v>12.6</v>
      </c>
      <c r="M75" s="22">
        <f t="shared" si="7"/>
        <v>12.6</v>
      </c>
      <c r="N75" s="22">
        <f t="shared" si="7"/>
        <v>18.899999999999999</v>
      </c>
      <c r="O75" s="22">
        <f t="shared" si="7"/>
        <v>21</v>
      </c>
      <c r="P75" s="22">
        <f t="shared" si="7"/>
        <v>31.5</v>
      </c>
      <c r="Q75" s="22">
        <f t="shared" si="7"/>
        <v>42</v>
      </c>
      <c r="R75" s="22">
        <f t="shared" si="7"/>
        <v>42</v>
      </c>
      <c r="S75" s="22">
        <f t="shared" si="7"/>
        <v>18.899999999999999</v>
      </c>
      <c r="T75" s="22">
        <f t="shared" si="7"/>
        <v>18.899999999999999</v>
      </c>
      <c r="U75" s="22">
        <f t="shared" si="7"/>
        <v>31.5</v>
      </c>
      <c r="V75" s="22">
        <f t="shared" si="7"/>
        <v>42</v>
      </c>
      <c r="W75" s="22">
        <f t="shared" si="7"/>
        <v>31.5</v>
      </c>
      <c r="X75" s="22">
        <f t="shared" si="7"/>
        <v>21</v>
      </c>
      <c r="Y75" s="22">
        <f t="shared" si="7"/>
        <v>10.5</v>
      </c>
      <c r="Z75" s="22">
        <f t="shared" si="7"/>
        <v>21</v>
      </c>
    </row>
    <row r="76" spans="1:26" x14ac:dyDescent="0.3">
      <c r="A76" s="22">
        <f t="shared" si="10"/>
        <v>115.125</v>
      </c>
      <c r="B76" s="22">
        <f t="shared" si="11"/>
        <v>23.024999999999999</v>
      </c>
      <c r="C76" s="22">
        <f t="shared" si="12"/>
        <v>92.1</v>
      </c>
      <c r="D76" s="24" t="s">
        <v>72</v>
      </c>
      <c r="E76" s="24" t="s">
        <v>437</v>
      </c>
      <c r="F76" s="17" t="s">
        <v>80</v>
      </c>
      <c r="G76" s="22">
        <v>30</v>
      </c>
      <c r="H76" s="16">
        <v>0.18</v>
      </c>
      <c r="I76" s="22">
        <f t="shared" si="13"/>
        <v>5.3999999999999995</v>
      </c>
      <c r="J76" s="22">
        <f t="shared" si="14"/>
        <v>35.4</v>
      </c>
      <c r="K76" s="22">
        <f t="shared" si="7"/>
        <v>3</v>
      </c>
      <c r="L76" s="22">
        <f t="shared" si="7"/>
        <v>1.7999999999999998</v>
      </c>
      <c r="M76" s="22">
        <f t="shared" si="7"/>
        <v>1.7999999999999998</v>
      </c>
      <c r="N76" s="22">
        <f t="shared" si="7"/>
        <v>2.6999999999999997</v>
      </c>
      <c r="O76" s="22">
        <f t="shared" si="7"/>
        <v>3</v>
      </c>
      <c r="P76" s="22">
        <f t="shared" si="7"/>
        <v>4.5</v>
      </c>
      <c r="Q76" s="22">
        <f t="shared" si="7"/>
        <v>6</v>
      </c>
      <c r="R76" s="22">
        <f t="shared" si="7"/>
        <v>6</v>
      </c>
      <c r="S76" s="22">
        <f t="shared" si="7"/>
        <v>2.6999999999999997</v>
      </c>
      <c r="T76" s="22">
        <f t="shared" si="7"/>
        <v>2.6999999999999997</v>
      </c>
      <c r="U76" s="22">
        <f t="shared" si="7"/>
        <v>4.5</v>
      </c>
      <c r="V76" s="22">
        <f t="shared" si="7"/>
        <v>6</v>
      </c>
      <c r="W76" s="22">
        <f t="shared" si="7"/>
        <v>4.5</v>
      </c>
      <c r="X76" s="22">
        <f t="shared" si="7"/>
        <v>3</v>
      </c>
      <c r="Y76" s="22">
        <f t="shared" si="7"/>
        <v>1.5</v>
      </c>
      <c r="Z76" s="22">
        <f t="shared" si="7"/>
        <v>3</v>
      </c>
    </row>
    <row r="77" spans="1:26" x14ac:dyDescent="0.3">
      <c r="A77" s="22">
        <f t="shared" si="10"/>
        <v>115.125</v>
      </c>
      <c r="B77" s="22">
        <f t="shared" si="11"/>
        <v>23.024999999999999</v>
      </c>
      <c r="C77" s="22">
        <f t="shared" si="12"/>
        <v>92.1</v>
      </c>
      <c r="D77" s="24" t="s">
        <v>72</v>
      </c>
      <c r="E77" s="24" t="s">
        <v>437</v>
      </c>
      <c r="F77" s="17" t="s">
        <v>81</v>
      </c>
      <c r="G77" s="22">
        <v>30</v>
      </c>
      <c r="H77" s="16">
        <v>0.18</v>
      </c>
      <c r="I77" s="22">
        <f t="shared" si="13"/>
        <v>5.3999999999999995</v>
      </c>
      <c r="J77" s="22">
        <f t="shared" si="14"/>
        <v>35.4</v>
      </c>
      <c r="K77" s="22">
        <f t="shared" si="7"/>
        <v>3</v>
      </c>
      <c r="L77" s="22">
        <f t="shared" si="7"/>
        <v>1.7999999999999998</v>
      </c>
      <c r="M77" s="22">
        <f t="shared" si="7"/>
        <v>1.7999999999999998</v>
      </c>
      <c r="N77" s="22">
        <f t="shared" si="7"/>
        <v>2.6999999999999997</v>
      </c>
      <c r="O77" s="22">
        <f t="shared" si="7"/>
        <v>3</v>
      </c>
      <c r="P77" s="22">
        <f t="shared" si="7"/>
        <v>4.5</v>
      </c>
      <c r="Q77" s="22">
        <f t="shared" si="7"/>
        <v>6</v>
      </c>
      <c r="R77" s="22">
        <f t="shared" si="7"/>
        <v>6</v>
      </c>
      <c r="S77" s="22">
        <f t="shared" si="7"/>
        <v>2.6999999999999997</v>
      </c>
      <c r="T77" s="22">
        <f t="shared" si="7"/>
        <v>2.6999999999999997</v>
      </c>
      <c r="U77" s="22">
        <f t="shared" si="7"/>
        <v>4.5</v>
      </c>
      <c r="V77" s="22">
        <f t="shared" si="7"/>
        <v>6</v>
      </c>
      <c r="W77" s="22">
        <f t="shared" si="7"/>
        <v>4.5</v>
      </c>
      <c r="X77" s="22">
        <f t="shared" si="7"/>
        <v>3</v>
      </c>
      <c r="Y77" s="22">
        <f t="shared" si="7"/>
        <v>1.5</v>
      </c>
      <c r="Z77" s="22">
        <f t="shared" si="7"/>
        <v>3</v>
      </c>
    </row>
    <row r="78" spans="1:26" x14ac:dyDescent="0.3">
      <c r="A78" s="22">
        <f t="shared" si="10"/>
        <v>134.31250000000003</v>
      </c>
      <c r="B78" s="22">
        <f t="shared" si="11"/>
        <v>26.862500000000004</v>
      </c>
      <c r="C78" s="22">
        <f t="shared" si="12"/>
        <v>107.45000000000002</v>
      </c>
      <c r="D78" s="24" t="s">
        <v>72</v>
      </c>
      <c r="E78" s="24" t="s">
        <v>437</v>
      </c>
      <c r="F78" s="17" t="s">
        <v>82</v>
      </c>
      <c r="G78" s="22">
        <v>35</v>
      </c>
      <c r="H78" s="16">
        <v>0.18</v>
      </c>
      <c r="I78" s="22">
        <f t="shared" si="13"/>
        <v>6.3</v>
      </c>
      <c r="J78" s="22">
        <f t="shared" si="14"/>
        <v>41.3</v>
      </c>
      <c r="K78" s="22">
        <f t="shared" si="7"/>
        <v>3.5</v>
      </c>
      <c r="L78" s="22">
        <f t="shared" si="7"/>
        <v>2.1</v>
      </c>
      <c r="M78" s="22">
        <f t="shared" si="7"/>
        <v>2.1</v>
      </c>
      <c r="N78" s="22">
        <f t="shared" si="7"/>
        <v>3.15</v>
      </c>
      <c r="O78" s="22">
        <f t="shared" si="7"/>
        <v>3.5</v>
      </c>
      <c r="P78" s="22">
        <f t="shared" si="7"/>
        <v>5.25</v>
      </c>
      <c r="Q78" s="22">
        <f t="shared" si="7"/>
        <v>7</v>
      </c>
      <c r="R78" s="22">
        <f t="shared" si="7"/>
        <v>7</v>
      </c>
      <c r="S78" s="22">
        <f t="shared" si="7"/>
        <v>3.15</v>
      </c>
      <c r="T78" s="22">
        <f t="shared" si="7"/>
        <v>3.15</v>
      </c>
      <c r="U78" s="22">
        <f t="shared" si="7"/>
        <v>5.25</v>
      </c>
      <c r="V78" s="22">
        <f t="shared" si="7"/>
        <v>7</v>
      </c>
      <c r="W78" s="22">
        <f t="shared" si="7"/>
        <v>5.25</v>
      </c>
      <c r="X78" s="22">
        <f t="shared" si="7"/>
        <v>3.5</v>
      </c>
      <c r="Y78" s="22">
        <f t="shared" si="7"/>
        <v>1.75</v>
      </c>
      <c r="Z78" s="22">
        <f t="shared" si="7"/>
        <v>3.5</v>
      </c>
    </row>
    <row r="79" spans="1:26" x14ac:dyDescent="0.3">
      <c r="A79" s="22">
        <f t="shared" si="10"/>
        <v>122.8</v>
      </c>
      <c r="B79" s="22">
        <f t="shared" si="11"/>
        <v>24.56</v>
      </c>
      <c r="C79" s="22">
        <f t="shared" si="12"/>
        <v>98.24</v>
      </c>
      <c r="D79" s="24" t="s">
        <v>72</v>
      </c>
      <c r="E79" s="24" t="s">
        <v>437</v>
      </c>
      <c r="F79" s="17" t="s">
        <v>83</v>
      </c>
      <c r="G79" s="22">
        <v>32</v>
      </c>
      <c r="H79" s="16">
        <v>0.18</v>
      </c>
      <c r="I79" s="22">
        <f t="shared" si="13"/>
        <v>5.76</v>
      </c>
      <c r="J79" s="22">
        <f t="shared" si="14"/>
        <v>37.76</v>
      </c>
      <c r="K79" s="22">
        <f t="shared" si="7"/>
        <v>3.2</v>
      </c>
      <c r="L79" s="22">
        <f t="shared" si="7"/>
        <v>1.92</v>
      </c>
      <c r="M79" s="22">
        <f t="shared" si="7"/>
        <v>1.92</v>
      </c>
      <c r="N79" s="22">
        <f t="shared" si="7"/>
        <v>2.88</v>
      </c>
      <c r="O79" s="22">
        <f t="shared" si="7"/>
        <v>3.2</v>
      </c>
      <c r="P79" s="22">
        <f t="shared" si="7"/>
        <v>4.8</v>
      </c>
      <c r="Q79" s="22">
        <f t="shared" si="7"/>
        <v>6.4</v>
      </c>
      <c r="R79" s="22">
        <f t="shared" si="7"/>
        <v>6.4</v>
      </c>
      <c r="S79" s="22">
        <f t="shared" si="7"/>
        <v>2.88</v>
      </c>
      <c r="T79" s="22">
        <f t="shared" si="7"/>
        <v>2.88</v>
      </c>
      <c r="U79" s="22">
        <f t="shared" ref="R79:Z142" si="15">$G79*U$1</f>
        <v>4.8</v>
      </c>
      <c r="V79" s="22">
        <f t="shared" si="15"/>
        <v>6.4</v>
      </c>
      <c r="W79" s="22">
        <f t="shared" si="15"/>
        <v>4.8</v>
      </c>
      <c r="X79" s="22">
        <f t="shared" si="15"/>
        <v>3.2</v>
      </c>
      <c r="Y79" s="22">
        <f t="shared" si="15"/>
        <v>1.6</v>
      </c>
      <c r="Z79" s="22">
        <f t="shared" si="15"/>
        <v>3.2</v>
      </c>
    </row>
    <row r="80" spans="1:26" x14ac:dyDescent="0.3">
      <c r="A80" s="22">
        <f t="shared" si="10"/>
        <v>249.4375</v>
      </c>
      <c r="B80" s="22">
        <f t="shared" si="11"/>
        <v>49.887500000000003</v>
      </c>
      <c r="C80" s="22">
        <f t="shared" si="12"/>
        <v>199.55</v>
      </c>
      <c r="D80" s="24" t="s">
        <v>72</v>
      </c>
      <c r="E80" s="24" t="s">
        <v>437</v>
      </c>
      <c r="F80" s="17" t="s">
        <v>84</v>
      </c>
      <c r="G80" s="22">
        <v>65</v>
      </c>
      <c r="H80" s="16">
        <v>0.18</v>
      </c>
      <c r="I80" s="22">
        <f t="shared" si="13"/>
        <v>11.7</v>
      </c>
      <c r="J80" s="22">
        <f t="shared" si="14"/>
        <v>76.7</v>
      </c>
      <c r="K80" s="22">
        <f t="shared" ref="K80:U143" si="16">$G80*K$1</f>
        <v>6.5</v>
      </c>
      <c r="L80" s="22">
        <f t="shared" si="16"/>
        <v>3.9</v>
      </c>
      <c r="M80" s="22">
        <f t="shared" si="16"/>
        <v>3.9</v>
      </c>
      <c r="N80" s="22">
        <f t="shared" si="16"/>
        <v>5.85</v>
      </c>
      <c r="O80" s="22">
        <f t="shared" si="16"/>
        <v>6.5</v>
      </c>
      <c r="P80" s="22">
        <f t="shared" si="16"/>
        <v>9.75</v>
      </c>
      <c r="Q80" s="22">
        <f t="shared" si="16"/>
        <v>13</v>
      </c>
      <c r="R80" s="22">
        <f t="shared" si="15"/>
        <v>13</v>
      </c>
      <c r="S80" s="22">
        <f t="shared" si="15"/>
        <v>5.85</v>
      </c>
      <c r="T80" s="22">
        <f t="shared" si="15"/>
        <v>5.85</v>
      </c>
      <c r="U80" s="22">
        <f t="shared" si="15"/>
        <v>9.75</v>
      </c>
      <c r="V80" s="22">
        <f t="shared" si="15"/>
        <v>13</v>
      </c>
      <c r="W80" s="22">
        <f t="shared" si="15"/>
        <v>9.75</v>
      </c>
      <c r="X80" s="22">
        <f t="shared" si="15"/>
        <v>6.5</v>
      </c>
      <c r="Y80" s="22">
        <f t="shared" si="15"/>
        <v>3.25</v>
      </c>
      <c r="Z80" s="22">
        <f t="shared" si="15"/>
        <v>6.5</v>
      </c>
    </row>
    <row r="81" spans="1:26" x14ac:dyDescent="0.3">
      <c r="A81" s="22">
        <f t="shared" si="10"/>
        <v>134.31250000000003</v>
      </c>
      <c r="B81" s="22">
        <f t="shared" si="11"/>
        <v>26.862500000000004</v>
      </c>
      <c r="C81" s="22">
        <f t="shared" si="12"/>
        <v>107.45000000000002</v>
      </c>
      <c r="D81" s="24" t="s">
        <v>72</v>
      </c>
      <c r="E81" s="24" t="s">
        <v>437</v>
      </c>
      <c r="F81" s="17" t="s">
        <v>85</v>
      </c>
      <c r="G81" s="22">
        <v>35</v>
      </c>
      <c r="H81" s="16">
        <v>0.18</v>
      </c>
      <c r="I81" s="22">
        <f t="shared" si="13"/>
        <v>6.3</v>
      </c>
      <c r="J81" s="22">
        <f t="shared" si="14"/>
        <v>41.3</v>
      </c>
      <c r="K81" s="22">
        <f t="shared" si="16"/>
        <v>3.5</v>
      </c>
      <c r="L81" s="22">
        <f t="shared" si="16"/>
        <v>2.1</v>
      </c>
      <c r="M81" s="22">
        <f t="shared" si="16"/>
        <v>2.1</v>
      </c>
      <c r="N81" s="22">
        <f t="shared" si="16"/>
        <v>3.15</v>
      </c>
      <c r="O81" s="22">
        <f t="shared" si="16"/>
        <v>3.5</v>
      </c>
      <c r="P81" s="22">
        <f t="shared" si="16"/>
        <v>5.25</v>
      </c>
      <c r="Q81" s="22">
        <f t="shared" si="16"/>
        <v>7</v>
      </c>
      <c r="R81" s="22">
        <f t="shared" si="15"/>
        <v>7</v>
      </c>
      <c r="S81" s="22">
        <f t="shared" si="15"/>
        <v>3.15</v>
      </c>
      <c r="T81" s="22">
        <f t="shared" si="15"/>
        <v>3.15</v>
      </c>
      <c r="U81" s="22">
        <f t="shared" si="15"/>
        <v>5.25</v>
      </c>
      <c r="V81" s="22">
        <f t="shared" si="15"/>
        <v>7</v>
      </c>
      <c r="W81" s="22">
        <f t="shared" si="15"/>
        <v>5.25</v>
      </c>
      <c r="X81" s="22">
        <f t="shared" si="15"/>
        <v>3.5</v>
      </c>
      <c r="Y81" s="22">
        <f t="shared" si="15"/>
        <v>1.75</v>
      </c>
      <c r="Z81" s="22">
        <f t="shared" si="15"/>
        <v>3.5</v>
      </c>
    </row>
    <row r="82" spans="1:26" x14ac:dyDescent="0.3">
      <c r="A82" s="22">
        <f t="shared" si="10"/>
        <v>115.125</v>
      </c>
      <c r="B82" s="22">
        <f t="shared" si="11"/>
        <v>23.024999999999999</v>
      </c>
      <c r="C82" s="22">
        <f t="shared" si="12"/>
        <v>92.1</v>
      </c>
      <c r="D82" s="24" t="s">
        <v>72</v>
      </c>
      <c r="E82" s="24" t="s">
        <v>437</v>
      </c>
      <c r="F82" s="17" t="s">
        <v>86</v>
      </c>
      <c r="G82" s="22">
        <v>30</v>
      </c>
      <c r="H82" s="16">
        <v>0.18</v>
      </c>
      <c r="I82" s="22">
        <f t="shared" si="13"/>
        <v>5.3999999999999995</v>
      </c>
      <c r="J82" s="22">
        <f t="shared" si="14"/>
        <v>35.4</v>
      </c>
      <c r="K82" s="22">
        <f t="shared" si="16"/>
        <v>3</v>
      </c>
      <c r="L82" s="22">
        <f t="shared" si="16"/>
        <v>1.7999999999999998</v>
      </c>
      <c r="M82" s="22">
        <f t="shared" si="16"/>
        <v>1.7999999999999998</v>
      </c>
      <c r="N82" s="22">
        <f t="shared" si="16"/>
        <v>2.6999999999999997</v>
      </c>
      <c r="O82" s="22">
        <f t="shared" si="16"/>
        <v>3</v>
      </c>
      <c r="P82" s="22">
        <f t="shared" si="16"/>
        <v>4.5</v>
      </c>
      <c r="Q82" s="22">
        <f t="shared" si="16"/>
        <v>6</v>
      </c>
      <c r="R82" s="22">
        <f t="shared" si="15"/>
        <v>6</v>
      </c>
      <c r="S82" s="22">
        <f t="shared" si="15"/>
        <v>2.6999999999999997</v>
      </c>
      <c r="T82" s="22">
        <f t="shared" si="15"/>
        <v>2.6999999999999997</v>
      </c>
      <c r="U82" s="22">
        <f t="shared" si="15"/>
        <v>4.5</v>
      </c>
      <c r="V82" s="22">
        <f t="shared" si="15"/>
        <v>6</v>
      </c>
      <c r="W82" s="22">
        <f t="shared" si="15"/>
        <v>4.5</v>
      </c>
      <c r="X82" s="22">
        <f t="shared" si="15"/>
        <v>3</v>
      </c>
      <c r="Y82" s="22">
        <f t="shared" si="15"/>
        <v>1.5</v>
      </c>
      <c r="Z82" s="22">
        <f t="shared" si="15"/>
        <v>3</v>
      </c>
    </row>
    <row r="83" spans="1:26" x14ac:dyDescent="0.3">
      <c r="A83" s="22">
        <f t="shared" si="10"/>
        <v>402.9375</v>
      </c>
      <c r="B83" s="22">
        <f t="shared" si="11"/>
        <v>80.587500000000006</v>
      </c>
      <c r="C83" s="22">
        <f t="shared" si="12"/>
        <v>322.35000000000002</v>
      </c>
      <c r="D83" s="24" t="s">
        <v>72</v>
      </c>
      <c r="E83" s="24" t="s">
        <v>437</v>
      </c>
      <c r="F83" s="17" t="s">
        <v>87</v>
      </c>
      <c r="G83" s="22">
        <v>105</v>
      </c>
      <c r="H83" s="16">
        <v>0.18</v>
      </c>
      <c r="I83" s="22">
        <f t="shared" si="13"/>
        <v>18.899999999999999</v>
      </c>
      <c r="J83" s="22">
        <f t="shared" si="14"/>
        <v>123.9</v>
      </c>
      <c r="K83" s="22">
        <f t="shared" si="16"/>
        <v>10.5</v>
      </c>
      <c r="L83" s="22">
        <f t="shared" si="16"/>
        <v>6.3</v>
      </c>
      <c r="M83" s="22">
        <f t="shared" si="16"/>
        <v>6.3</v>
      </c>
      <c r="N83" s="22">
        <f t="shared" si="16"/>
        <v>9.4499999999999993</v>
      </c>
      <c r="O83" s="22">
        <f t="shared" si="16"/>
        <v>10.5</v>
      </c>
      <c r="P83" s="22">
        <f t="shared" si="16"/>
        <v>15.75</v>
      </c>
      <c r="Q83" s="22">
        <f t="shared" si="16"/>
        <v>21</v>
      </c>
      <c r="R83" s="22">
        <f t="shared" si="15"/>
        <v>21</v>
      </c>
      <c r="S83" s="22">
        <f t="shared" si="15"/>
        <v>9.4499999999999993</v>
      </c>
      <c r="T83" s="22">
        <f t="shared" si="15"/>
        <v>9.4499999999999993</v>
      </c>
      <c r="U83" s="22">
        <f t="shared" si="15"/>
        <v>15.75</v>
      </c>
      <c r="V83" s="22">
        <f t="shared" si="15"/>
        <v>21</v>
      </c>
      <c r="W83" s="22">
        <f t="shared" si="15"/>
        <v>15.75</v>
      </c>
      <c r="X83" s="22">
        <f t="shared" si="15"/>
        <v>10.5</v>
      </c>
      <c r="Y83" s="22">
        <f t="shared" si="15"/>
        <v>5.25</v>
      </c>
      <c r="Z83" s="22">
        <f t="shared" si="15"/>
        <v>10.5</v>
      </c>
    </row>
    <row r="84" spans="1:26" x14ac:dyDescent="0.3">
      <c r="A84" s="22">
        <f t="shared" si="10"/>
        <v>383.75</v>
      </c>
      <c r="B84" s="22">
        <f t="shared" si="11"/>
        <v>76.75</v>
      </c>
      <c r="C84" s="22">
        <f t="shared" si="12"/>
        <v>307</v>
      </c>
      <c r="D84" s="24" t="s">
        <v>72</v>
      </c>
      <c r="E84" s="24" t="s">
        <v>437</v>
      </c>
      <c r="F84" s="17" t="s">
        <v>88</v>
      </c>
      <c r="G84" s="22">
        <v>100</v>
      </c>
      <c r="H84" s="16">
        <v>0.18</v>
      </c>
      <c r="I84" s="22">
        <f t="shared" si="13"/>
        <v>18</v>
      </c>
      <c r="J84" s="22">
        <f t="shared" si="14"/>
        <v>118</v>
      </c>
      <c r="K84" s="22">
        <f t="shared" si="16"/>
        <v>10</v>
      </c>
      <c r="L84" s="22">
        <f t="shared" si="16"/>
        <v>6</v>
      </c>
      <c r="M84" s="22">
        <f t="shared" si="16"/>
        <v>6</v>
      </c>
      <c r="N84" s="22">
        <f t="shared" si="16"/>
        <v>9</v>
      </c>
      <c r="O84" s="22">
        <f t="shared" si="16"/>
        <v>10</v>
      </c>
      <c r="P84" s="22">
        <f t="shared" si="16"/>
        <v>15</v>
      </c>
      <c r="Q84" s="22">
        <f t="shared" si="16"/>
        <v>20</v>
      </c>
      <c r="R84" s="22">
        <f t="shared" si="15"/>
        <v>20</v>
      </c>
      <c r="S84" s="22">
        <f t="shared" si="15"/>
        <v>9</v>
      </c>
      <c r="T84" s="22">
        <f t="shared" si="15"/>
        <v>9</v>
      </c>
      <c r="U84" s="22">
        <f t="shared" si="15"/>
        <v>15</v>
      </c>
      <c r="V84" s="22">
        <f t="shared" si="15"/>
        <v>20</v>
      </c>
      <c r="W84" s="22">
        <f t="shared" si="15"/>
        <v>15</v>
      </c>
      <c r="X84" s="22">
        <f t="shared" si="15"/>
        <v>10</v>
      </c>
      <c r="Y84" s="22">
        <f t="shared" si="15"/>
        <v>5</v>
      </c>
      <c r="Z84" s="22">
        <f t="shared" si="15"/>
        <v>10</v>
      </c>
    </row>
    <row r="85" spans="1:26" x14ac:dyDescent="0.3">
      <c r="A85" s="22">
        <f t="shared" si="10"/>
        <v>237.92500000000004</v>
      </c>
      <c r="B85" s="22">
        <f t="shared" si="11"/>
        <v>47.585000000000008</v>
      </c>
      <c r="C85" s="22">
        <f t="shared" si="12"/>
        <v>190.34000000000003</v>
      </c>
      <c r="D85" s="24" t="s">
        <v>72</v>
      </c>
      <c r="E85" s="24" t="s">
        <v>437</v>
      </c>
      <c r="F85" s="17" t="s">
        <v>89</v>
      </c>
      <c r="G85" s="22">
        <v>62</v>
      </c>
      <c r="H85" s="16">
        <v>0.18</v>
      </c>
      <c r="I85" s="22">
        <f t="shared" si="13"/>
        <v>11.16</v>
      </c>
      <c r="J85" s="22">
        <f t="shared" si="14"/>
        <v>73.16</v>
      </c>
      <c r="K85" s="22">
        <f t="shared" si="16"/>
        <v>6.2</v>
      </c>
      <c r="L85" s="22">
        <f t="shared" si="16"/>
        <v>3.7199999999999998</v>
      </c>
      <c r="M85" s="22">
        <f t="shared" si="16"/>
        <v>3.7199999999999998</v>
      </c>
      <c r="N85" s="22">
        <f t="shared" si="16"/>
        <v>5.58</v>
      </c>
      <c r="O85" s="22">
        <f t="shared" si="16"/>
        <v>6.2</v>
      </c>
      <c r="P85" s="22">
        <f t="shared" si="16"/>
        <v>9.2999999999999989</v>
      </c>
      <c r="Q85" s="22">
        <f t="shared" si="16"/>
        <v>12.4</v>
      </c>
      <c r="R85" s="22">
        <f t="shared" si="15"/>
        <v>12.4</v>
      </c>
      <c r="S85" s="22">
        <f t="shared" si="15"/>
        <v>5.58</v>
      </c>
      <c r="T85" s="22">
        <f t="shared" si="15"/>
        <v>5.58</v>
      </c>
      <c r="U85" s="22">
        <f t="shared" si="15"/>
        <v>9.2999999999999989</v>
      </c>
      <c r="V85" s="22">
        <f t="shared" si="15"/>
        <v>12.4</v>
      </c>
      <c r="W85" s="22">
        <f t="shared" si="15"/>
        <v>9.2999999999999989</v>
      </c>
      <c r="X85" s="22">
        <f t="shared" si="15"/>
        <v>6.2</v>
      </c>
      <c r="Y85" s="22">
        <f t="shared" si="15"/>
        <v>3.1</v>
      </c>
      <c r="Z85" s="22">
        <f t="shared" si="15"/>
        <v>6.2</v>
      </c>
    </row>
    <row r="86" spans="1:26" x14ac:dyDescent="0.3">
      <c r="A86" s="22">
        <f t="shared" si="10"/>
        <v>237.92500000000004</v>
      </c>
      <c r="B86" s="22">
        <f t="shared" si="11"/>
        <v>47.585000000000008</v>
      </c>
      <c r="C86" s="22">
        <f t="shared" si="12"/>
        <v>190.34000000000003</v>
      </c>
      <c r="D86" s="24" t="s">
        <v>72</v>
      </c>
      <c r="E86" s="24" t="s">
        <v>437</v>
      </c>
      <c r="F86" s="17" t="s">
        <v>90</v>
      </c>
      <c r="G86" s="22">
        <v>62</v>
      </c>
      <c r="H86" s="16">
        <v>0.18</v>
      </c>
      <c r="I86" s="22">
        <f t="shared" si="13"/>
        <v>11.16</v>
      </c>
      <c r="J86" s="22">
        <f t="shared" si="14"/>
        <v>73.16</v>
      </c>
      <c r="K86" s="22">
        <f t="shared" si="16"/>
        <v>6.2</v>
      </c>
      <c r="L86" s="22">
        <f t="shared" si="16"/>
        <v>3.7199999999999998</v>
      </c>
      <c r="M86" s="22">
        <f t="shared" si="16"/>
        <v>3.7199999999999998</v>
      </c>
      <c r="N86" s="22">
        <f t="shared" si="16"/>
        <v>5.58</v>
      </c>
      <c r="O86" s="22">
        <f t="shared" si="16"/>
        <v>6.2</v>
      </c>
      <c r="P86" s="22">
        <f t="shared" si="16"/>
        <v>9.2999999999999989</v>
      </c>
      <c r="Q86" s="22">
        <f t="shared" si="16"/>
        <v>12.4</v>
      </c>
      <c r="R86" s="22">
        <f t="shared" si="15"/>
        <v>12.4</v>
      </c>
      <c r="S86" s="22">
        <f t="shared" si="15"/>
        <v>5.58</v>
      </c>
      <c r="T86" s="22">
        <f t="shared" si="15"/>
        <v>5.58</v>
      </c>
      <c r="U86" s="22">
        <f t="shared" si="15"/>
        <v>9.2999999999999989</v>
      </c>
      <c r="V86" s="22">
        <f t="shared" si="15"/>
        <v>12.4</v>
      </c>
      <c r="W86" s="22">
        <f t="shared" si="15"/>
        <v>9.2999999999999989</v>
      </c>
      <c r="X86" s="22">
        <f t="shared" si="15"/>
        <v>6.2</v>
      </c>
      <c r="Y86" s="22">
        <f t="shared" si="15"/>
        <v>3.1</v>
      </c>
      <c r="Z86" s="22">
        <f t="shared" si="15"/>
        <v>6.2</v>
      </c>
    </row>
    <row r="87" spans="1:26" x14ac:dyDescent="0.3">
      <c r="A87" s="22">
        <f t="shared" si="10"/>
        <v>460.5</v>
      </c>
      <c r="B87" s="22">
        <f t="shared" si="11"/>
        <v>92.1</v>
      </c>
      <c r="C87" s="22">
        <f t="shared" si="12"/>
        <v>368.4</v>
      </c>
      <c r="D87" s="24" t="s">
        <v>72</v>
      </c>
      <c r="E87" s="24" t="s">
        <v>437</v>
      </c>
      <c r="F87" s="17" t="s">
        <v>91</v>
      </c>
      <c r="G87" s="22">
        <v>120</v>
      </c>
      <c r="H87" s="16">
        <v>0.18</v>
      </c>
      <c r="I87" s="22">
        <f t="shared" si="13"/>
        <v>21.599999999999998</v>
      </c>
      <c r="J87" s="22">
        <f t="shared" si="14"/>
        <v>141.6</v>
      </c>
      <c r="K87" s="22">
        <f t="shared" si="16"/>
        <v>12</v>
      </c>
      <c r="L87" s="22">
        <f t="shared" si="16"/>
        <v>7.1999999999999993</v>
      </c>
      <c r="M87" s="22">
        <f t="shared" si="16"/>
        <v>7.1999999999999993</v>
      </c>
      <c r="N87" s="22">
        <f t="shared" si="16"/>
        <v>10.799999999999999</v>
      </c>
      <c r="O87" s="22">
        <f t="shared" si="16"/>
        <v>12</v>
      </c>
      <c r="P87" s="22">
        <f t="shared" si="16"/>
        <v>18</v>
      </c>
      <c r="Q87" s="22">
        <f t="shared" si="16"/>
        <v>24</v>
      </c>
      <c r="R87" s="22">
        <f t="shared" si="15"/>
        <v>24</v>
      </c>
      <c r="S87" s="22">
        <f t="shared" si="15"/>
        <v>10.799999999999999</v>
      </c>
      <c r="T87" s="22">
        <f t="shared" si="15"/>
        <v>10.799999999999999</v>
      </c>
      <c r="U87" s="22">
        <f t="shared" si="15"/>
        <v>18</v>
      </c>
      <c r="V87" s="22">
        <f t="shared" si="15"/>
        <v>24</v>
      </c>
      <c r="W87" s="22">
        <f t="shared" si="15"/>
        <v>18</v>
      </c>
      <c r="X87" s="22">
        <f t="shared" si="15"/>
        <v>12</v>
      </c>
      <c r="Y87" s="22">
        <f t="shared" si="15"/>
        <v>6</v>
      </c>
      <c r="Z87" s="22">
        <f t="shared" si="15"/>
        <v>12</v>
      </c>
    </row>
    <row r="88" spans="1:26" x14ac:dyDescent="0.3">
      <c r="A88" s="22">
        <f t="shared" si="10"/>
        <v>959.375</v>
      </c>
      <c r="B88" s="22">
        <f t="shared" si="11"/>
        <v>191.875</v>
      </c>
      <c r="C88" s="22">
        <f t="shared" si="12"/>
        <v>767.5</v>
      </c>
      <c r="D88" s="24" t="s">
        <v>72</v>
      </c>
      <c r="E88" s="24" t="s">
        <v>437</v>
      </c>
      <c r="F88" s="17" t="s">
        <v>92</v>
      </c>
      <c r="G88" s="22">
        <v>250</v>
      </c>
      <c r="H88" s="16">
        <v>0.18</v>
      </c>
      <c r="I88" s="22">
        <f t="shared" si="13"/>
        <v>45</v>
      </c>
      <c r="J88" s="22">
        <f t="shared" si="14"/>
        <v>295</v>
      </c>
      <c r="K88" s="22">
        <f t="shared" si="16"/>
        <v>25</v>
      </c>
      <c r="L88" s="22">
        <f t="shared" si="16"/>
        <v>15</v>
      </c>
      <c r="M88" s="22">
        <f t="shared" si="16"/>
        <v>15</v>
      </c>
      <c r="N88" s="22">
        <f t="shared" si="16"/>
        <v>22.5</v>
      </c>
      <c r="O88" s="22">
        <f t="shared" si="16"/>
        <v>25</v>
      </c>
      <c r="P88" s="22">
        <f t="shared" si="16"/>
        <v>37.5</v>
      </c>
      <c r="Q88" s="22">
        <f t="shared" si="16"/>
        <v>50</v>
      </c>
      <c r="R88" s="22">
        <f t="shared" si="15"/>
        <v>50</v>
      </c>
      <c r="S88" s="22">
        <f t="shared" si="15"/>
        <v>22.5</v>
      </c>
      <c r="T88" s="22">
        <f t="shared" si="15"/>
        <v>22.5</v>
      </c>
      <c r="U88" s="22">
        <f t="shared" si="15"/>
        <v>37.5</v>
      </c>
      <c r="V88" s="22">
        <f t="shared" si="15"/>
        <v>50</v>
      </c>
      <c r="W88" s="22">
        <f t="shared" si="15"/>
        <v>37.5</v>
      </c>
      <c r="X88" s="22">
        <f t="shared" si="15"/>
        <v>25</v>
      </c>
      <c r="Y88" s="22">
        <f t="shared" si="15"/>
        <v>12.5</v>
      </c>
      <c r="Z88" s="22">
        <f t="shared" si="15"/>
        <v>25</v>
      </c>
    </row>
    <row r="89" spans="1:26" x14ac:dyDescent="0.3">
      <c r="A89" s="22">
        <f t="shared" si="10"/>
        <v>249.4375</v>
      </c>
      <c r="B89" s="22">
        <f t="shared" si="11"/>
        <v>49.887500000000003</v>
      </c>
      <c r="C89" s="22">
        <f t="shared" si="12"/>
        <v>199.55</v>
      </c>
      <c r="D89" s="24" t="s">
        <v>72</v>
      </c>
      <c r="E89" s="24" t="s">
        <v>437</v>
      </c>
      <c r="F89" s="17" t="s">
        <v>93</v>
      </c>
      <c r="G89" s="22">
        <v>65</v>
      </c>
      <c r="H89" s="16">
        <v>0.18</v>
      </c>
      <c r="I89" s="22">
        <f t="shared" si="13"/>
        <v>11.7</v>
      </c>
      <c r="J89" s="22">
        <f t="shared" si="14"/>
        <v>76.7</v>
      </c>
      <c r="K89" s="22">
        <f t="shared" si="16"/>
        <v>6.5</v>
      </c>
      <c r="L89" s="22">
        <f t="shared" si="16"/>
        <v>3.9</v>
      </c>
      <c r="M89" s="22">
        <f t="shared" si="16"/>
        <v>3.9</v>
      </c>
      <c r="N89" s="22">
        <f t="shared" si="16"/>
        <v>5.85</v>
      </c>
      <c r="O89" s="22">
        <f t="shared" si="16"/>
        <v>6.5</v>
      </c>
      <c r="P89" s="22">
        <f t="shared" si="16"/>
        <v>9.75</v>
      </c>
      <c r="Q89" s="22">
        <f t="shared" si="16"/>
        <v>13</v>
      </c>
      <c r="R89" s="22">
        <f t="shared" si="15"/>
        <v>13</v>
      </c>
      <c r="S89" s="22">
        <f t="shared" si="15"/>
        <v>5.85</v>
      </c>
      <c r="T89" s="22">
        <f t="shared" si="15"/>
        <v>5.85</v>
      </c>
      <c r="U89" s="22">
        <f t="shared" si="15"/>
        <v>9.75</v>
      </c>
      <c r="V89" s="22">
        <f t="shared" si="15"/>
        <v>13</v>
      </c>
      <c r="W89" s="22">
        <f t="shared" si="15"/>
        <v>9.75</v>
      </c>
      <c r="X89" s="22">
        <f t="shared" si="15"/>
        <v>6.5</v>
      </c>
      <c r="Y89" s="22">
        <f t="shared" si="15"/>
        <v>3.25</v>
      </c>
      <c r="Z89" s="22">
        <f t="shared" si="15"/>
        <v>6.5</v>
      </c>
    </row>
    <row r="90" spans="1:26" x14ac:dyDescent="0.3">
      <c r="A90" s="22">
        <f t="shared" si="10"/>
        <v>268.62500000000006</v>
      </c>
      <c r="B90" s="22">
        <f t="shared" si="11"/>
        <v>53.725000000000009</v>
      </c>
      <c r="C90" s="22">
        <f t="shared" si="12"/>
        <v>214.90000000000003</v>
      </c>
      <c r="D90" s="24" t="s">
        <v>72</v>
      </c>
      <c r="E90" s="24" t="s">
        <v>437</v>
      </c>
      <c r="F90" s="17" t="s">
        <v>94</v>
      </c>
      <c r="G90" s="22">
        <v>70</v>
      </c>
      <c r="H90" s="16">
        <v>0.18</v>
      </c>
      <c r="I90" s="22">
        <f t="shared" si="13"/>
        <v>12.6</v>
      </c>
      <c r="J90" s="22">
        <f t="shared" si="14"/>
        <v>82.6</v>
      </c>
      <c r="K90" s="22">
        <f t="shared" si="16"/>
        <v>7</v>
      </c>
      <c r="L90" s="22">
        <f t="shared" si="16"/>
        <v>4.2</v>
      </c>
      <c r="M90" s="22">
        <f t="shared" si="16"/>
        <v>4.2</v>
      </c>
      <c r="N90" s="22">
        <f t="shared" si="16"/>
        <v>6.3</v>
      </c>
      <c r="O90" s="22">
        <f t="shared" si="16"/>
        <v>7</v>
      </c>
      <c r="P90" s="22">
        <f t="shared" si="16"/>
        <v>10.5</v>
      </c>
      <c r="Q90" s="22">
        <f t="shared" si="16"/>
        <v>14</v>
      </c>
      <c r="R90" s="22">
        <f t="shared" si="15"/>
        <v>14</v>
      </c>
      <c r="S90" s="22">
        <f t="shared" si="15"/>
        <v>6.3</v>
      </c>
      <c r="T90" s="22">
        <f t="shared" si="15"/>
        <v>6.3</v>
      </c>
      <c r="U90" s="22">
        <f t="shared" si="15"/>
        <v>10.5</v>
      </c>
      <c r="V90" s="22">
        <f t="shared" si="15"/>
        <v>14</v>
      </c>
      <c r="W90" s="22">
        <f t="shared" si="15"/>
        <v>10.5</v>
      </c>
      <c r="X90" s="22">
        <f t="shared" si="15"/>
        <v>7</v>
      </c>
      <c r="Y90" s="22">
        <f t="shared" si="15"/>
        <v>3.5</v>
      </c>
      <c r="Z90" s="22">
        <f t="shared" si="15"/>
        <v>7</v>
      </c>
    </row>
    <row r="91" spans="1:26" x14ac:dyDescent="0.3">
      <c r="A91" s="22">
        <f t="shared" si="10"/>
        <v>145.82499999999999</v>
      </c>
      <c r="B91" s="22">
        <f t="shared" si="11"/>
        <v>29.164999999999999</v>
      </c>
      <c r="C91" s="22">
        <f t="shared" si="12"/>
        <v>116.66</v>
      </c>
      <c r="D91" s="24" t="s">
        <v>72</v>
      </c>
      <c r="E91" s="24" t="s">
        <v>437</v>
      </c>
      <c r="F91" s="17" t="s">
        <v>95</v>
      </c>
      <c r="G91" s="22">
        <v>38</v>
      </c>
      <c r="H91" s="16">
        <v>0.18</v>
      </c>
      <c r="I91" s="22">
        <f t="shared" si="13"/>
        <v>6.84</v>
      </c>
      <c r="J91" s="22">
        <f t="shared" si="14"/>
        <v>44.84</v>
      </c>
      <c r="K91" s="22">
        <f t="shared" si="16"/>
        <v>3.8000000000000003</v>
      </c>
      <c r="L91" s="22">
        <f t="shared" si="16"/>
        <v>2.2799999999999998</v>
      </c>
      <c r="M91" s="22">
        <f t="shared" si="16"/>
        <v>2.2799999999999998</v>
      </c>
      <c r="N91" s="22">
        <f t="shared" si="16"/>
        <v>3.42</v>
      </c>
      <c r="O91" s="22">
        <f t="shared" si="16"/>
        <v>3.8000000000000003</v>
      </c>
      <c r="P91" s="22">
        <f t="shared" si="16"/>
        <v>5.7</v>
      </c>
      <c r="Q91" s="22">
        <f t="shared" si="16"/>
        <v>7.6000000000000005</v>
      </c>
      <c r="R91" s="22">
        <f t="shared" si="15"/>
        <v>7.6000000000000005</v>
      </c>
      <c r="S91" s="22">
        <f t="shared" si="15"/>
        <v>3.42</v>
      </c>
      <c r="T91" s="22">
        <f t="shared" si="15"/>
        <v>3.42</v>
      </c>
      <c r="U91" s="22">
        <f t="shared" si="15"/>
        <v>5.7</v>
      </c>
      <c r="V91" s="22">
        <f t="shared" si="15"/>
        <v>7.6000000000000005</v>
      </c>
      <c r="W91" s="22">
        <f t="shared" si="15"/>
        <v>5.7</v>
      </c>
      <c r="X91" s="22">
        <f t="shared" si="15"/>
        <v>3.8000000000000003</v>
      </c>
      <c r="Y91" s="22">
        <f t="shared" si="15"/>
        <v>1.9000000000000001</v>
      </c>
      <c r="Z91" s="22">
        <f t="shared" si="15"/>
        <v>3.8000000000000003</v>
      </c>
    </row>
    <row r="92" spans="1:26" x14ac:dyDescent="0.3">
      <c r="A92" s="22">
        <f t="shared" si="10"/>
        <v>237.92500000000004</v>
      </c>
      <c r="B92" s="22">
        <f t="shared" si="11"/>
        <v>47.585000000000008</v>
      </c>
      <c r="C92" s="22">
        <f t="shared" si="12"/>
        <v>190.34000000000003</v>
      </c>
      <c r="D92" s="24" t="s">
        <v>72</v>
      </c>
      <c r="E92" s="24" t="s">
        <v>437</v>
      </c>
      <c r="F92" s="17" t="s">
        <v>96</v>
      </c>
      <c r="G92" s="22">
        <v>62</v>
      </c>
      <c r="H92" s="16">
        <v>0.18</v>
      </c>
      <c r="I92" s="22">
        <f t="shared" si="13"/>
        <v>11.16</v>
      </c>
      <c r="J92" s="22">
        <f t="shared" si="14"/>
        <v>73.16</v>
      </c>
      <c r="K92" s="22">
        <f t="shared" si="16"/>
        <v>6.2</v>
      </c>
      <c r="L92" s="22">
        <f t="shared" si="16"/>
        <v>3.7199999999999998</v>
      </c>
      <c r="M92" s="22">
        <f t="shared" si="16"/>
        <v>3.7199999999999998</v>
      </c>
      <c r="N92" s="22">
        <f t="shared" si="16"/>
        <v>5.58</v>
      </c>
      <c r="O92" s="22">
        <f t="shared" si="16"/>
        <v>6.2</v>
      </c>
      <c r="P92" s="22">
        <f t="shared" si="16"/>
        <v>9.2999999999999989</v>
      </c>
      <c r="Q92" s="22">
        <f t="shared" si="16"/>
        <v>12.4</v>
      </c>
      <c r="R92" s="22">
        <f t="shared" si="15"/>
        <v>12.4</v>
      </c>
      <c r="S92" s="22">
        <f t="shared" si="15"/>
        <v>5.58</v>
      </c>
      <c r="T92" s="22">
        <f t="shared" si="15"/>
        <v>5.58</v>
      </c>
      <c r="U92" s="22">
        <f t="shared" si="15"/>
        <v>9.2999999999999989</v>
      </c>
      <c r="V92" s="22">
        <f t="shared" si="15"/>
        <v>12.4</v>
      </c>
      <c r="W92" s="22">
        <f t="shared" si="15"/>
        <v>9.2999999999999989</v>
      </c>
      <c r="X92" s="22">
        <f t="shared" si="15"/>
        <v>6.2</v>
      </c>
      <c r="Y92" s="22">
        <f t="shared" si="15"/>
        <v>3.1</v>
      </c>
      <c r="Z92" s="22">
        <f t="shared" si="15"/>
        <v>6.2</v>
      </c>
    </row>
    <row r="93" spans="1:26" x14ac:dyDescent="0.3">
      <c r="A93" s="22">
        <f t="shared" si="10"/>
        <v>268.62500000000006</v>
      </c>
      <c r="B93" s="22">
        <f t="shared" si="11"/>
        <v>53.725000000000009</v>
      </c>
      <c r="C93" s="22">
        <f t="shared" si="12"/>
        <v>214.90000000000003</v>
      </c>
      <c r="D93" s="24" t="s">
        <v>72</v>
      </c>
      <c r="E93" s="24" t="s">
        <v>437</v>
      </c>
      <c r="F93" s="17" t="s">
        <v>97</v>
      </c>
      <c r="G93" s="22">
        <v>70</v>
      </c>
      <c r="H93" s="16">
        <v>0.18</v>
      </c>
      <c r="I93" s="22">
        <f t="shared" si="13"/>
        <v>12.6</v>
      </c>
      <c r="J93" s="22">
        <f t="shared" si="14"/>
        <v>82.6</v>
      </c>
      <c r="K93" s="22">
        <f t="shared" si="16"/>
        <v>7</v>
      </c>
      <c r="L93" s="22">
        <f t="shared" si="16"/>
        <v>4.2</v>
      </c>
      <c r="M93" s="22">
        <f t="shared" si="16"/>
        <v>4.2</v>
      </c>
      <c r="N93" s="22">
        <f t="shared" si="16"/>
        <v>6.3</v>
      </c>
      <c r="O93" s="22">
        <f t="shared" si="16"/>
        <v>7</v>
      </c>
      <c r="P93" s="22">
        <f t="shared" si="16"/>
        <v>10.5</v>
      </c>
      <c r="Q93" s="22">
        <f t="shared" si="16"/>
        <v>14</v>
      </c>
      <c r="R93" s="22">
        <f t="shared" si="15"/>
        <v>14</v>
      </c>
      <c r="S93" s="22">
        <f t="shared" si="15"/>
        <v>6.3</v>
      </c>
      <c r="T93" s="22">
        <f t="shared" si="15"/>
        <v>6.3</v>
      </c>
      <c r="U93" s="22">
        <f t="shared" si="15"/>
        <v>10.5</v>
      </c>
      <c r="V93" s="22">
        <f t="shared" si="15"/>
        <v>14</v>
      </c>
      <c r="W93" s="22">
        <f t="shared" si="15"/>
        <v>10.5</v>
      </c>
      <c r="X93" s="22">
        <f t="shared" si="15"/>
        <v>7</v>
      </c>
      <c r="Y93" s="22">
        <f t="shared" si="15"/>
        <v>3.5</v>
      </c>
      <c r="Z93" s="22">
        <f t="shared" si="15"/>
        <v>7</v>
      </c>
    </row>
    <row r="94" spans="1:26" x14ac:dyDescent="0.3">
      <c r="A94" s="22">
        <f t="shared" si="10"/>
        <v>118.96250000000002</v>
      </c>
      <c r="B94" s="22">
        <f t="shared" si="11"/>
        <v>23.792500000000004</v>
      </c>
      <c r="C94" s="22">
        <f t="shared" si="12"/>
        <v>95.170000000000016</v>
      </c>
      <c r="D94" s="24" t="s">
        <v>72</v>
      </c>
      <c r="E94" s="24" t="s">
        <v>437</v>
      </c>
      <c r="F94" s="17" t="s">
        <v>98</v>
      </c>
      <c r="G94" s="22">
        <v>31</v>
      </c>
      <c r="H94" s="16">
        <v>0.18</v>
      </c>
      <c r="I94" s="22">
        <f t="shared" si="13"/>
        <v>5.58</v>
      </c>
      <c r="J94" s="22">
        <f t="shared" si="14"/>
        <v>36.58</v>
      </c>
      <c r="K94" s="22">
        <f t="shared" si="16"/>
        <v>3.1</v>
      </c>
      <c r="L94" s="22">
        <f t="shared" si="16"/>
        <v>1.8599999999999999</v>
      </c>
      <c r="M94" s="22">
        <f t="shared" si="16"/>
        <v>1.8599999999999999</v>
      </c>
      <c r="N94" s="22">
        <f t="shared" si="16"/>
        <v>2.79</v>
      </c>
      <c r="O94" s="22">
        <f t="shared" si="16"/>
        <v>3.1</v>
      </c>
      <c r="P94" s="22">
        <f t="shared" si="16"/>
        <v>4.6499999999999995</v>
      </c>
      <c r="Q94" s="22">
        <f t="shared" si="16"/>
        <v>6.2</v>
      </c>
      <c r="R94" s="22">
        <f t="shared" si="15"/>
        <v>6.2</v>
      </c>
      <c r="S94" s="22">
        <f t="shared" si="15"/>
        <v>2.79</v>
      </c>
      <c r="T94" s="22">
        <f t="shared" si="15"/>
        <v>2.79</v>
      </c>
      <c r="U94" s="22">
        <f t="shared" si="15"/>
        <v>4.6499999999999995</v>
      </c>
      <c r="V94" s="22">
        <f t="shared" si="15"/>
        <v>6.2</v>
      </c>
      <c r="W94" s="22">
        <f t="shared" si="15"/>
        <v>4.6499999999999995</v>
      </c>
      <c r="X94" s="22">
        <f t="shared" si="15"/>
        <v>3.1</v>
      </c>
      <c r="Y94" s="22">
        <f t="shared" si="15"/>
        <v>1.55</v>
      </c>
      <c r="Z94" s="22">
        <f t="shared" si="15"/>
        <v>3.1</v>
      </c>
    </row>
    <row r="95" spans="1:26" x14ac:dyDescent="0.3">
      <c r="A95" s="22">
        <f t="shared" si="10"/>
        <v>107.45000000000002</v>
      </c>
      <c r="B95" s="22">
        <f t="shared" si="11"/>
        <v>21.490000000000002</v>
      </c>
      <c r="C95" s="22">
        <f t="shared" si="12"/>
        <v>85.960000000000008</v>
      </c>
      <c r="D95" s="24" t="s">
        <v>72</v>
      </c>
      <c r="E95" s="24" t="s">
        <v>437</v>
      </c>
      <c r="F95" s="17" t="s">
        <v>99</v>
      </c>
      <c r="G95" s="22">
        <v>28</v>
      </c>
      <c r="H95" s="16">
        <v>0.18</v>
      </c>
      <c r="I95" s="22">
        <f t="shared" si="13"/>
        <v>5.04</v>
      </c>
      <c r="J95" s="22">
        <f t="shared" si="14"/>
        <v>33.04</v>
      </c>
      <c r="K95" s="22">
        <f t="shared" si="16"/>
        <v>2.8000000000000003</v>
      </c>
      <c r="L95" s="22">
        <f t="shared" si="16"/>
        <v>1.68</v>
      </c>
      <c r="M95" s="22">
        <f t="shared" si="16"/>
        <v>1.68</v>
      </c>
      <c r="N95" s="22">
        <f t="shared" si="16"/>
        <v>2.52</v>
      </c>
      <c r="O95" s="22">
        <f t="shared" si="16"/>
        <v>2.8000000000000003</v>
      </c>
      <c r="P95" s="22">
        <f t="shared" si="16"/>
        <v>4.2</v>
      </c>
      <c r="Q95" s="22">
        <f t="shared" si="16"/>
        <v>5.6000000000000005</v>
      </c>
      <c r="R95" s="22">
        <f t="shared" si="15"/>
        <v>5.6000000000000005</v>
      </c>
      <c r="S95" s="22">
        <f t="shared" si="15"/>
        <v>2.52</v>
      </c>
      <c r="T95" s="22">
        <f t="shared" si="15"/>
        <v>2.52</v>
      </c>
      <c r="U95" s="22">
        <f t="shared" si="15"/>
        <v>4.2</v>
      </c>
      <c r="V95" s="22">
        <f t="shared" si="15"/>
        <v>5.6000000000000005</v>
      </c>
      <c r="W95" s="22">
        <f t="shared" si="15"/>
        <v>4.2</v>
      </c>
      <c r="X95" s="22">
        <f t="shared" si="15"/>
        <v>2.8000000000000003</v>
      </c>
      <c r="Y95" s="22">
        <f t="shared" si="15"/>
        <v>1.4000000000000001</v>
      </c>
      <c r="Z95" s="22">
        <f t="shared" si="15"/>
        <v>2.8000000000000003</v>
      </c>
    </row>
    <row r="96" spans="1:26" x14ac:dyDescent="0.3">
      <c r="A96" s="22">
        <f t="shared" si="10"/>
        <v>287.8125</v>
      </c>
      <c r="B96" s="22">
        <f t="shared" si="11"/>
        <v>57.5625</v>
      </c>
      <c r="C96" s="22">
        <f t="shared" si="12"/>
        <v>230.25</v>
      </c>
      <c r="D96" s="24" t="s">
        <v>72</v>
      </c>
      <c r="E96" s="24" t="s">
        <v>437</v>
      </c>
      <c r="F96" s="17" t="s">
        <v>100</v>
      </c>
      <c r="G96" s="22">
        <v>75</v>
      </c>
      <c r="H96" s="16">
        <v>0.18</v>
      </c>
      <c r="I96" s="22">
        <f t="shared" si="13"/>
        <v>13.5</v>
      </c>
      <c r="J96" s="22">
        <f t="shared" si="14"/>
        <v>88.5</v>
      </c>
      <c r="K96" s="22">
        <f t="shared" si="16"/>
        <v>7.5</v>
      </c>
      <c r="L96" s="22">
        <f t="shared" si="16"/>
        <v>4.5</v>
      </c>
      <c r="M96" s="22">
        <f t="shared" si="16"/>
        <v>4.5</v>
      </c>
      <c r="N96" s="22">
        <f t="shared" si="16"/>
        <v>6.75</v>
      </c>
      <c r="O96" s="22">
        <f t="shared" si="16"/>
        <v>7.5</v>
      </c>
      <c r="P96" s="22">
        <f t="shared" si="16"/>
        <v>11.25</v>
      </c>
      <c r="Q96" s="22">
        <f t="shared" si="16"/>
        <v>15</v>
      </c>
      <c r="R96" s="22">
        <f t="shared" si="15"/>
        <v>15</v>
      </c>
      <c r="S96" s="22">
        <f t="shared" si="15"/>
        <v>6.75</v>
      </c>
      <c r="T96" s="22">
        <f t="shared" si="15"/>
        <v>6.75</v>
      </c>
      <c r="U96" s="22">
        <f t="shared" si="15"/>
        <v>11.25</v>
      </c>
      <c r="V96" s="22">
        <f t="shared" si="15"/>
        <v>15</v>
      </c>
      <c r="W96" s="22">
        <f t="shared" si="15"/>
        <v>11.25</v>
      </c>
      <c r="X96" s="22">
        <f t="shared" si="15"/>
        <v>7.5</v>
      </c>
      <c r="Y96" s="22">
        <f t="shared" si="15"/>
        <v>3.75</v>
      </c>
      <c r="Z96" s="22">
        <f t="shared" si="15"/>
        <v>7.5</v>
      </c>
    </row>
    <row r="97" spans="1:26" x14ac:dyDescent="0.3">
      <c r="A97" s="22">
        <f t="shared" si="10"/>
        <v>237.92500000000004</v>
      </c>
      <c r="B97" s="22">
        <f t="shared" si="11"/>
        <v>47.585000000000008</v>
      </c>
      <c r="C97" s="22">
        <f t="shared" si="12"/>
        <v>190.34000000000003</v>
      </c>
      <c r="D97" s="24" t="s">
        <v>72</v>
      </c>
      <c r="E97" s="24" t="s">
        <v>437</v>
      </c>
      <c r="F97" s="17" t="s">
        <v>101</v>
      </c>
      <c r="G97" s="22">
        <v>62</v>
      </c>
      <c r="H97" s="16">
        <v>0.18</v>
      </c>
      <c r="I97" s="22">
        <f t="shared" si="13"/>
        <v>11.16</v>
      </c>
      <c r="J97" s="22">
        <f t="shared" si="14"/>
        <v>73.16</v>
      </c>
      <c r="K97" s="22">
        <f t="shared" si="16"/>
        <v>6.2</v>
      </c>
      <c r="L97" s="22">
        <f t="shared" si="16"/>
        <v>3.7199999999999998</v>
      </c>
      <c r="M97" s="22">
        <f t="shared" si="16"/>
        <v>3.7199999999999998</v>
      </c>
      <c r="N97" s="22">
        <f t="shared" si="16"/>
        <v>5.58</v>
      </c>
      <c r="O97" s="22">
        <f t="shared" si="16"/>
        <v>6.2</v>
      </c>
      <c r="P97" s="22">
        <f t="shared" si="16"/>
        <v>9.2999999999999989</v>
      </c>
      <c r="Q97" s="22">
        <f t="shared" si="16"/>
        <v>12.4</v>
      </c>
      <c r="R97" s="22">
        <f t="shared" si="15"/>
        <v>12.4</v>
      </c>
      <c r="S97" s="22">
        <f t="shared" si="15"/>
        <v>5.58</v>
      </c>
      <c r="T97" s="22">
        <f t="shared" si="15"/>
        <v>5.58</v>
      </c>
      <c r="U97" s="22">
        <f t="shared" si="15"/>
        <v>9.2999999999999989</v>
      </c>
      <c r="V97" s="22">
        <f t="shared" si="15"/>
        <v>12.4</v>
      </c>
      <c r="W97" s="22">
        <f t="shared" si="15"/>
        <v>9.2999999999999989</v>
      </c>
      <c r="X97" s="22">
        <f t="shared" si="15"/>
        <v>6.2</v>
      </c>
      <c r="Y97" s="22">
        <f t="shared" si="15"/>
        <v>3.1</v>
      </c>
      <c r="Z97" s="22">
        <f t="shared" si="15"/>
        <v>6.2</v>
      </c>
    </row>
    <row r="98" spans="1:26" x14ac:dyDescent="0.3">
      <c r="A98" s="22">
        <f t="shared" si="10"/>
        <v>729.12500000000011</v>
      </c>
      <c r="B98" s="22">
        <f t="shared" si="11"/>
        <v>145.82500000000002</v>
      </c>
      <c r="C98" s="22">
        <f t="shared" si="12"/>
        <v>583.30000000000007</v>
      </c>
      <c r="D98" s="24" t="s">
        <v>72</v>
      </c>
      <c r="E98" s="24" t="s">
        <v>437</v>
      </c>
      <c r="F98" s="17" t="s">
        <v>102</v>
      </c>
      <c r="G98" s="22">
        <v>190</v>
      </c>
      <c r="H98" s="16">
        <v>0.18</v>
      </c>
      <c r="I98" s="22">
        <f t="shared" si="13"/>
        <v>34.199999999999996</v>
      </c>
      <c r="J98" s="22">
        <f t="shared" si="14"/>
        <v>224.2</v>
      </c>
      <c r="K98" s="22">
        <f t="shared" si="16"/>
        <v>19</v>
      </c>
      <c r="L98" s="22">
        <f t="shared" si="16"/>
        <v>11.4</v>
      </c>
      <c r="M98" s="22">
        <f t="shared" si="16"/>
        <v>11.4</v>
      </c>
      <c r="N98" s="22">
        <f t="shared" si="16"/>
        <v>17.099999999999998</v>
      </c>
      <c r="O98" s="22">
        <f t="shared" si="16"/>
        <v>19</v>
      </c>
      <c r="P98" s="22">
        <f t="shared" si="16"/>
        <v>28.5</v>
      </c>
      <c r="Q98" s="22">
        <f t="shared" si="16"/>
        <v>38</v>
      </c>
      <c r="R98" s="22">
        <f t="shared" si="15"/>
        <v>38</v>
      </c>
      <c r="S98" s="22">
        <f t="shared" si="15"/>
        <v>17.099999999999998</v>
      </c>
      <c r="T98" s="22">
        <f t="shared" si="15"/>
        <v>17.099999999999998</v>
      </c>
      <c r="U98" s="22">
        <f t="shared" si="15"/>
        <v>28.5</v>
      </c>
      <c r="V98" s="22">
        <f t="shared" si="15"/>
        <v>38</v>
      </c>
      <c r="W98" s="22">
        <f t="shared" si="15"/>
        <v>28.5</v>
      </c>
      <c r="X98" s="22">
        <f t="shared" si="15"/>
        <v>19</v>
      </c>
      <c r="Y98" s="22">
        <f t="shared" si="15"/>
        <v>9.5</v>
      </c>
      <c r="Z98" s="22">
        <f t="shared" si="15"/>
        <v>19</v>
      </c>
    </row>
    <row r="99" spans="1:26" x14ac:dyDescent="0.3">
      <c r="A99" s="22">
        <f t="shared" si="10"/>
        <v>122.8</v>
      </c>
      <c r="B99" s="22">
        <f t="shared" si="11"/>
        <v>24.56</v>
      </c>
      <c r="C99" s="22">
        <f t="shared" si="12"/>
        <v>98.24</v>
      </c>
      <c r="D99" s="24" t="s">
        <v>72</v>
      </c>
      <c r="E99" s="24" t="s">
        <v>437</v>
      </c>
      <c r="F99" s="17" t="s">
        <v>103</v>
      </c>
      <c r="G99" s="22">
        <v>32</v>
      </c>
      <c r="H99" s="16">
        <v>0.18</v>
      </c>
      <c r="I99" s="22">
        <f t="shared" si="13"/>
        <v>5.76</v>
      </c>
      <c r="J99" s="22">
        <f t="shared" si="14"/>
        <v>37.76</v>
      </c>
      <c r="K99" s="22">
        <f t="shared" si="16"/>
        <v>3.2</v>
      </c>
      <c r="L99" s="22">
        <f t="shared" si="16"/>
        <v>1.92</v>
      </c>
      <c r="M99" s="22">
        <f t="shared" si="16"/>
        <v>1.92</v>
      </c>
      <c r="N99" s="22">
        <f t="shared" si="16"/>
        <v>2.88</v>
      </c>
      <c r="O99" s="22">
        <f t="shared" si="16"/>
        <v>3.2</v>
      </c>
      <c r="P99" s="22">
        <f t="shared" si="16"/>
        <v>4.8</v>
      </c>
      <c r="Q99" s="22">
        <f t="shared" si="16"/>
        <v>6.4</v>
      </c>
      <c r="R99" s="22">
        <f t="shared" si="15"/>
        <v>6.4</v>
      </c>
      <c r="S99" s="22">
        <f t="shared" si="15"/>
        <v>2.88</v>
      </c>
      <c r="T99" s="22">
        <f t="shared" si="15"/>
        <v>2.88</v>
      </c>
      <c r="U99" s="22">
        <f t="shared" si="15"/>
        <v>4.8</v>
      </c>
      <c r="V99" s="22">
        <f t="shared" si="15"/>
        <v>6.4</v>
      </c>
      <c r="W99" s="22">
        <f t="shared" si="15"/>
        <v>4.8</v>
      </c>
      <c r="X99" s="22">
        <f t="shared" si="15"/>
        <v>3.2</v>
      </c>
      <c r="Y99" s="22">
        <f t="shared" si="15"/>
        <v>1.6</v>
      </c>
      <c r="Z99" s="22">
        <f t="shared" si="15"/>
        <v>3.2</v>
      </c>
    </row>
    <row r="100" spans="1:26" x14ac:dyDescent="0.3">
      <c r="A100" s="22">
        <f t="shared" si="10"/>
        <v>729.12500000000011</v>
      </c>
      <c r="B100" s="22">
        <f t="shared" si="11"/>
        <v>145.82500000000002</v>
      </c>
      <c r="C100" s="22">
        <f t="shared" si="12"/>
        <v>583.30000000000007</v>
      </c>
      <c r="D100" s="24" t="s">
        <v>72</v>
      </c>
      <c r="E100" s="24" t="s">
        <v>437</v>
      </c>
      <c r="F100" s="17" t="s">
        <v>104</v>
      </c>
      <c r="G100" s="22">
        <v>190</v>
      </c>
      <c r="H100" s="16">
        <v>0.18</v>
      </c>
      <c r="I100" s="22">
        <f t="shared" si="13"/>
        <v>34.199999999999996</v>
      </c>
      <c r="J100" s="22">
        <f t="shared" si="14"/>
        <v>224.2</v>
      </c>
      <c r="K100" s="22">
        <f t="shared" si="16"/>
        <v>19</v>
      </c>
      <c r="L100" s="22">
        <f t="shared" si="16"/>
        <v>11.4</v>
      </c>
      <c r="M100" s="22">
        <f t="shared" si="16"/>
        <v>11.4</v>
      </c>
      <c r="N100" s="22">
        <f t="shared" si="16"/>
        <v>17.099999999999998</v>
      </c>
      <c r="O100" s="22">
        <f t="shared" si="16"/>
        <v>19</v>
      </c>
      <c r="P100" s="22">
        <f t="shared" si="16"/>
        <v>28.5</v>
      </c>
      <c r="Q100" s="22">
        <f t="shared" si="16"/>
        <v>38</v>
      </c>
      <c r="R100" s="22">
        <f t="shared" si="15"/>
        <v>38</v>
      </c>
      <c r="S100" s="22">
        <f t="shared" si="15"/>
        <v>17.099999999999998</v>
      </c>
      <c r="T100" s="22">
        <f t="shared" si="15"/>
        <v>17.099999999999998</v>
      </c>
      <c r="U100" s="22">
        <f t="shared" si="15"/>
        <v>28.5</v>
      </c>
      <c r="V100" s="22">
        <f t="shared" si="15"/>
        <v>38</v>
      </c>
      <c r="W100" s="22">
        <f t="shared" si="15"/>
        <v>28.5</v>
      </c>
      <c r="X100" s="22">
        <f t="shared" si="15"/>
        <v>19</v>
      </c>
      <c r="Y100" s="22">
        <f t="shared" si="15"/>
        <v>9.5</v>
      </c>
      <c r="Z100" s="22">
        <f t="shared" si="15"/>
        <v>19</v>
      </c>
    </row>
    <row r="101" spans="1:26" x14ac:dyDescent="0.3">
      <c r="A101" s="22">
        <f t="shared" si="10"/>
        <v>17.268749999999997</v>
      </c>
      <c r="B101" s="22">
        <f t="shared" si="11"/>
        <v>3.4537499999999994</v>
      </c>
      <c r="C101" s="22">
        <f t="shared" si="12"/>
        <v>13.814999999999998</v>
      </c>
      <c r="D101" s="24" t="s">
        <v>105</v>
      </c>
      <c r="E101" s="24" t="s">
        <v>437</v>
      </c>
      <c r="F101" s="17" t="s">
        <v>106</v>
      </c>
      <c r="G101" s="22">
        <v>4.5</v>
      </c>
      <c r="H101" s="16">
        <v>0.18</v>
      </c>
      <c r="I101" s="22">
        <f t="shared" si="13"/>
        <v>0.80999999999999994</v>
      </c>
      <c r="J101" s="22">
        <f t="shared" si="14"/>
        <v>5.31</v>
      </c>
      <c r="K101" s="22">
        <f t="shared" si="16"/>
        <v>0.45</v>
      </c>
      <c r="L101" s="22">
        <f t="shared" si="16"/>
        <v>0.27</v>
      </c>
      <c r="M101" s="22">
        <f t="shared" si="16"/>
        <v>0.27</v>
      </c>
      <c r="N101" s="22">
        <f t="shared" si="16"/>
        <v>0.40499999999999997</v>
      </c>
      <c r="O101" s="22">
        <f t="shared" si="16"/>
        <v>0.45</v>
      </c>
      <c r="P101" s="22">
        <f t="shared" si="16"/>
        <v>0.67499999999999993</v>
      </c>
      <c r="Q101" s="22">
        <f t="shared" si="16"/>
        <v>0.9</v>
      </c>
      <c r="R101" s="22">
        <f t="shared" si="15"/>
        <v>0.9</v>
      </c>
      <c r="S101" s="22">
        <f t="shared" si="15"/>
        <v>0.40499999999999997</v>
      </c>
      <c r="T101" s="22">
        <f t="shared" si="15"/>
        <v>0.40499999999999997</v>
      </c>
      <c r="U101" s="22">
        <f t="shared" si="15"/>
        <v>0.67499999999999993</v>
      </c>
      <c r="V101" s="22">
        <f t="shared" si="15"/>
        <v>0.9</v>
      </c>
      <c r="W101" s="22">
        <f t="shared" si="15"/>
        <v>0.67499999999999993</v>
      </c>
      <c r="X101" s="22">
        <f t="shared" si="15"/>
        <v>0.45</v>
      </c>
      <c r="Y101" s="22">
        <f t="shared" si="15"/>
        <v>0.22500000000000001</v>
      </c>
      <c r="Z101" s="22">
        <f t="shared" si="15"/>
        <v>0.45</v>
      </c>
    </row>
    <row r="102" spans="1:26" x14ac:dyDescent="0.3">
      <c r="A102" s="22">
        <f t="shared" si="10"/>
        <v>21.106249999999992</v>
      </c>
      <c r="B102" s="22">
        <f t="shared" si="11"/>
        <v>4.2212499999999986</v>
      </c>
      <c r="C102" s="22">
        <f t="shared" si="12"/>
        <v>16.884999999999994</v>
      </c>
      <c r="D102" s="24" t="s">
        <v>105</v>
      </c>
      <c r="E102" s="24" t="s">
        <v>437</v>
      </c>
      <c r="F102" s="17" t="s">
        <v>107</v>
      </c>
      <c r="G102" s="22">
        <v>5.5</v>
      </c>
      <c r="H102" s="16">
        <v>0.18</v>
      </c>
      <c r="I102" s="22">
        <f t="shared" si="13"/>
        <v>0.99</v>
      </c>
      <c r="J102" s="22">
        <f t="shared" si="14"/>
        <v>6.49</v>
      </c>
      <c r="K102" s="22">
        <f t="shared" si="16"/>
        <v>0.55000000000000004</v>
      </c>
      <c r="L102" s="22">
        <f t="shared" si="16"/>
        <v>0.32999999999999996</v>
      </c>
      <c r="M102" s="22">
        <f t="shared" si="16"/>
        <v>0.32999999999999996</v>
      </c>
      <c r="N102" s="22">
        <f t="shared" si="16"/>
        <v>0.495</v>
      </c>
      <c r="O102" s="22">
        <f t="shared" si="16"/>
        <v>0.55000000000000004</v>
      </c>
      <c r="P102" s="22">
        <f t="shared" si="16"/>
        <v>0.82499999999999996</v>
      </c>
      <c r="Q102" s="22">
        <f t="shared" si="16"/>
        <v>1.1000000000000001</v>
      </c>
      <c r="R102" s="22">
        <f t="shared" si="15"/>
        <v>1.1000000000000001</v>
      </c>
      <c r="S102" s="22">
        <f t="shared" si="15"/>
        <v>0.495</v>
      </c>
      <c r="T102" s="22">
        <f t="shared" si="15"/>
        <v>0.495</v>
      </c>
      <c r="U102" s="22">
        <f t="shared" si="15"/>
        <v>0.82499999999999996</v>
      </c>
      <c r="V102" s="22">
        <f t="shared" si="15"/>
        <v>1.1000000000000001</v>
      </c>
      <c r="W102" s="22">
        <f t="shared" si="15"/>
        <v>0.82499999999999996</v>
      </c>
      <c r="X102" s="22">
        <f t="shared" si="15"/>
        <v>0.55000000000000004</v>
      </c>
      <c r="Y102" s="22">
        <f t="shared" si="15"/>
        <v>0.27500000000000002</v>
      </c>
      <c r="Z102" s="22">
        <f t="shared" si="15"/>
        <v>0.55000000000000004</v>
      </c>
    </row>
    <row r="103" spans="1:26" x14ac:dyDescent="0.3">
      <c r="A103" s="22">
        <f t="shared" si="10"/>
        <v>30.7</v>
      </c>
      <c r="B103" s="22">
        <f t="shared" si="11"/>
        <v>6.14</v>
      </c>
      <c r="C103" s="22">
        <f t="shared" si="12"/>
        <v>24.56</v>
      </c>
      <c r="D103" s="24" t="s">
        <v>105</v>
      </c>
      <c r="E103" s="24" t="s">
        <v>437</v>
      </c>
      <c r="F103" s="17" t="s">
        <v>108</v>
      </c>
      <c r="G103" s="22">
        <v>8</v>
      </c>
      <c r="H103" s="16">
        <v>0.18</v>
      </c>
      <c r="I103" s="22">
        <f t="shared" si="13"/>
        <v>1.44</v>
      </c>
      <c r="J103" s="22">
        <f t="shared" si="14"/>
        <v>9.44</v>
      </c>
      <c r="K103" s="22">
        <f t="shared" si="16"/>
        <v>0.8</v>
      </c>
      <c r="L103" s="22">
        <f t="shared" si="16"/>
        <v>0.48</v>
      </c>
      <c r="M103" s="22">
        <f t="shared" si="16"/>
        <v>0.48</v>
      </c>
      <c r="N103" s="22">
        <f t="shared" si="16"/>
        <v>0.72</v>
      </c>
      <c r="O103" s="22">
        <f t="shared" si="16"/>
        <v>0.8</v>
      </c>
      <c r="P103" s="22">
        <f t="shared" si="16"/>
        <v>1.2</v>
      </c>
      <c r="Q103" s="22">
        <f t="shared" si="16"/>
        <v>1.6</v>
      </c>
      <c r="R103" s="22">
        <f t="shared" si="15"/>
        <v>1.6</v>
      </c>
      <c r="S103" s="22">
        <f t="shared" si="15"/>
        <v>0.72</v>
      </c>
      <c r="T103" s="22">
        <f t="shared" si="15"/>
        <v>0.72</v>
      </c>
      <c r="U103" s="22">
        <f t="shared" si="15"/>
        <v>1.2</v>
      </c>
      <c r="V103" s="22">
        <f t="shared" si="15"/>
        <v>1.6</v>
      </c>
      <c r="W103" s="22">
        <f t="shared" si="15"/>
        <v>1.2</v>
      </c>
      <c r="X103" s="22">
        <f t="shared" si="15"/>
        <v>0.8</v>
      </c>
      <c r="Y103" s="22">
        <f t="shared" si="15"/>
        <v>0.4</v>
      </c>
      <c r="Z103" s="22">
        <f t="shared" si="15"/>
        <v>0.8</v>
      </c>
    </row>
    <row r="104" spans="1:26" x14ac:dyDescent="0.3">
      <c r="A104" s="22">
        <f t="shared" si="10"/>
        <v>23.024999999999999</v>
      </c>
      <c r="B104" s="22">
        <f t="shared" si="11"/>
        <v>4.6049999999999995</v>
      </c>
      <c r="C104" s="22">
        <f t="shared" si="12"/>
        <v>18.419999999999998</v>
      </c>
      <c r="D104" s="24" t="s">
        <v>105</v>
      </c>
      <c r="E104" s="24" t="s">
        <v>437</v>
      </c>
      <c r="F104" s="17" t="s">
        <v>109</v>
      </c>
      <c r="G104" s="22">
        <v>6</v>
      </c>
      <c r="H104" s="16">
        <v>0.18</v>
      </c>
      <c r="I104" s="22">
        <f t="shared" si="13"/>
        <v>1.08</v>
      </c>
      <c r="J104" s="22">
        <f t="shared" si="14"/>
        <v>7.08</v>
      </c>
      <c r="K104" s="22">
        <f t="shared" si="16"/>
        <v>0.60000000000000009</v>
      </c>
      <c r="L104" s="22">
        <f t="shared" si="16"/>
        <v>0.36</v>
      </c>
      <c r="M104" s="22">
        <f t="shared" si="16"/>
        <v>0.36</v>
      </c>
      <c r="N104" s="22">
        <f t="shared" si="16"/>
        <v>0.54</v>
      </c>
      <c r="O104" s="22">
        <f t="shared" si="16"/>
        <v>0.60000000000000009</v>
      </c>
      <c r="P104" s="22">
        <f t="shared" si="16"/>
        <v>0.89999999999999991</v>
      </c>
      <c r="Q104" s="22">
        <f t="shared" si="16"/>
        <v>1.2000000000000002</v>
      </c>
      <c r="R104" s="22">
        <f t="shared" si="15"/>
        <v>1.2000000000000002</v>
      </c>
      <c r="S104" s="22">
        <f t="shared" si="15"/>
        <v>0.54</v>
      </c>
      <c r="T104" s="22">
        <f t="shared" si="15"/>
        <v>0.54</v>
      </c>
      <c r="U104" s="22">
        <f t="shared" si="15"/>
        <v>0.89999999999999991</v>
      </c>
      <c r="V104" s="22">
        <f t="shared" si="15"/>
        <v>1.2000000000000002</v>
      </c>
      <c r="W104" s="22">
        <f t="shared" si="15"/>
        <v>0.89999999999999991</v>
      </c>
      <c r="X104" s="22">
        <f t="shared" si="15"/>
        <v>0.60000000000000009</v>
      </c>
      <c r="Y104" s="22">
        <f t="shared" si="15"/>
        <v>0.30000000000000004</v>
      </c>
      <c r="Z104" s="22">
        <f t="shared" si="15"/>
        <v>0.60000000000000009</v>
      </c>
    </row>
    <row r="105" spans="1:26" x14ac:dyDescent="0.3">
      <c r="A105" s="22">
        <f t="shared" si="10"/>
        <v>26.862500000000004</v>
      </c>
      <c r="B105" s="22">
        <f t="shared" si="11"/>
        <v>5.3725000000000005</v>
      </c>
      <c r="C105" s="22">
        <f t="shared" si="12"/>
        <v>21.490000000000002</v>
      </c>
      <c r="D105" s="24" t="s">
        <v>105</v>
      </c>
      <c r="E105" s="24" t="s">
        <v>437</v>
      </c>
      <c r="F105" s="17" t="s">
        <v>110</v>
      </c>
      <c r="G105" s="22">
        <v>7</v>
      </c>
      <c r="H105" s="16">
        <v>0.18</v>
      </c>
      <c r="I105" s="22">
        <f t="shared" si="13"/>
        <v>1.26</v>
      </c>
      <c r="J105" s="22">
        <f t="shared" si="14"/>
        <v>8.26</v>
      </c>
      <c r="K105" s="22">
        <f t="shared" si="16"/>
        <v>0.70000000000000007</v>
      </c>
      <c r="L105" s="22">
        <f t="shared" si="16"/>
        <v>0.42</v>
      </c>
      <c r="M105" s="22">
        <f t="shared" si="16"/>
        <v>0.42</v>
      </c>
      <c r="N105" s="22">
        <f t="shared" si="16"/>
        <v>0.63</v>
      </c>
      <c r="O105" s="22">
        <f t="shared" si="16"/>
        <v>0.70000000000000007</v>
      </c>
      <c r="P105" s="22">
        <f t="shared" si="16"/>
        <v>1.05</v>
      </c>
      <c r="Q105" s="22">
        <f t="shared" si="16"/>
        <v>1.4000000000000001</v>
      </c>
      <c r="R105" s="22">
        <f t="shared" si="15"/>
        <v>1.4000000000000001</v>
      </c>
      <c r="S105" s="22">
        <f t="shared" si="15"/>
        <v>0.63</v>
      </c>
      <c r="T105" s="22">
        <f t="shared" si="15"/>
        <v>0.63</v>
      </c>
      <c r="U105" s="22">
        <f t="shared" si="15"/>
        <v>1.05</v>
      </c>
      <c r="V105" s="22">
        <f t="shared" si="15"/>
        <v>1.4000000000000001</v>
      </c>
      <c r="W105" s="22">
        <f t="shared" si="15"/>
        <v>1.05</v>
      </c>
      <c r="X105" s="22">
        <f t="shared" si="15"/>
        <v>0.70000000000000007</v>
      </c>
      <c r="Y105" s="22">
        <f t="shared" si="15"/>
        <v>0.35000000000000003</v>
      </c>
      <c r="Z105" s="22">
        <f t="shared" si="15"/>
        <v>0.70000000000000007</v>
      </c>
    </row>
    <row r="106" spans="1:26" x14ac:dyDescent="0.3">
      <c r="A106" s="22">
        <f t="shared" si="10"/>
        <v>76.749999999999986</v>
      </c>
      <c r="B106" s="22">
        <f t="shared" si="11"/>
        <v>15.349999999999998</v>
      </c>
      <c r="C106" s="22">
        <f t="shared" si="12"/>
        <v>61.399999999999991</v>
      </c>
      <c r="D106" s="24" t="s">
        <v>105</v>
      </c>
      <c r="E106" s="24" t="s">
        <v>437</v>
      </c>
      <c r="F106" s="17" t="s">
        <v>111</v>
      </c>
      <c r="G106" s="22">
        <v>20</v>
      </c>
      <c r="H106" s="16">
        <v>0.18</v>
      </c>
      <c r="I106" s="22">
        <f t="shared" si="13"/>
        <v>3.5999999999999996</v>
      </c>
      <c r="J106" s="22">
        <f t="shared" si="14"/>
        <v>23.6</v>
      </c>
      <c r="K106" s="22">
        <f t="shared" si="16"/>
        <v>2</v>
      </c>
      <c r="L106" s="22">
        <f t="shared" si="16"/>
        <v>1.2</v>
      </c>
      <c r="M106" s="22">
        <f t="shared" si="16"/>
        <v>1.2</v>
      </c>
      <c r="N106" s="22">
        <f t="shared" si="16"/>
        <v>1.7999999999999998</v>
      </c>
      <c r="O106" s="22">
        <f t="shared" si="16"/>
        <v>2</v>
      </c>
      <c r="P106" s="22">
        <f t="shared" si="16"/>
        <v>3</v>
      </c>
      <c r="Q106" s="22">
        <f t="shared" si="16"/>
        <v>4</v>
      </c>
      <c r="R106" s="22">
        <f t="shared" si="15"/>
        <v>4</v>
      </c>
      <c r="S106" s="22">
        <f t="shared" si="15"/>
        <v>1.7999999999999998</v>
      </c>
      <c r="T106" s="22">
        <f t="shared" si="15"/>
        <v>1.7999999999999998</v>
      </c>
      <c r="U106" s="22">
        <f t="shared" si="15"/>
        <v>3</v>
      </c>
      <c r="V106" s="22">
        <f t="shared" si="15"/>
        <v>4</v>
      </c>
      <c r="W106" s="22">
        <f t="shared" si="15"/>
        <v>3</v>
      </c>
      <c r="X106" s="22">
        <f t="shared" si="15"/>
        <v>2</v>
      </c>
      <c r="Y106" s="22">
        <f t="shared" si="15"/>
        <v>1</v>
      </c>
      <c r="Z106" s="22">
        <f t="shared" si="15"/>
        <v>2</v>
      </c>
    </row>
    <row r="107" spans="1:26" x14ac:dyDescent="0.3">
      <c r="A107" s="22">
        <f t="shared" si="10"/>
        <v>42.212499999999984</v>
      </c>
      <c r="B107" s="22">
        <f t="shared" si="11"/>
        <v>8.4424999999999972</v>
      </c>
      <c r="C107" s="22">
        <f t="shared" si="12"/>
        <v>33.769999999999989</v>
      </c>
      <c r="D107" s="24" t="s">
        <v>105</v>
      </c>
      <c r="E107" s="24" t="s">
        <v>437</v>
      </c>
      <c r="F107" s="17" t="s">
        <v>112</v>
      </c>
      <c r="G107" s="22">
        <v>11</v>
      </c>
      <c r="H107" s="16">
        <v>0.18</v>
      </c>
      <c r="I107" s="22">
        <f t="shared" si="13"/>
        <v>1.98</v>
      </c>
      <c r="J107" s="22">
        <f t="shared" si="14"/>
        <v>12.98</v>
      </c>
      <c r="K107" s="22">
        <f t="shared" si="16"/>
        <v>1.1000000000000001</v>
      </c>
      <c r="L107" s="22">
        <f t="shared" si="16"/>
        <v>0.65999999999999992</v>
      </c>
      <c r="M107" s="22">
        <f t="shared" si="16"/>
        <v>0.65999999999999992</v>
      </c>
      <c r="N107" s="22">
        <f t="shared" si="16"/>
        <v>0.99</v>
      </c>
      <c r="O107" s="22">
        <f t="shared" si="16"/>
        <v>1.1000000000000001</v>
      </c>
      <c r="P107" s="22">
        <f t="shared" si="16"/>
        <v>1.65</v>
      </c>
      <c r="Q107" s="22">
        <f t="shared" si="16"/>
        <v>2.2000000000000002</v>
      </c>
      <c r="R107" s="22">
        <f t="shared" si="15"/>
        <v>2.2000000000000002</v>
      </c>
      <c r="S107" s="22">
        <f t="shared" si="15"/>
        <v>0.99</v>
      </c>
      <c r="T107" s="22">
        <f t="shared" si="15"/>
        <v>0.99</v>
      </c>
      <c r="U107" s="22">
        <f t="shared" si="15"/>
        <v>1.65</v>
      </c>
      <c r="V107" s="22">
        <f t="shared" si="15"/>
        <v>2.2000000000000002</v>
      </c>
      <c r="W107" s="22">
        <f t="shared" si="15"/>
        <v>1.65</v>
      </c>
      <c r="X107" s="22">
        <f t="shared" ref="V107:Z170" si="17">$G107*X$1</f>
        <v>1.1000000000000001</v>
      </c>
      <c r="Y107" s="22">
        <f t="shared" si="17"/>
        <v>0.55000000000000004</v>
      </c>
      <c r="Z107" s="22">
        <f t="shared" si="17"/>
        <v>1.1000000000000001</v>
      </c>
    </row>
    <row r="108" spans="1:26" x14ac:dyDescent="0.3">
      <c r="A108" s="22">
        <f t="shared" si="10"/>
        <v>42.212499999999984</v>
      </c>
      <c r="B108" s="22">
        <f t="shared" si="11"/>
        <v>8.4424999999999972</v>
      </c>
      <c r="C108" s="22">
        <f t="shared" si="12"/>
        <v>33.769999999999989</v>
      </c>
      <c r="D108" s="24" t="s">
        <v>105</v>
      </c>
      <c r="E108" s="24" t="s">
        <v>437</v>
      </c>
      <c r="F108" s="17" t="s">
        <v>113</v>
      </c>
      <c r="G108" s="22">
        <v>11</v>
      </c>
      <c r="H108" s="16">
        <v>0.18</v>
      </c>
      <c r="I108" s="22">
        <f t="shared" si="13"/>
        <v>1.98</v>
      </c>
      <c r="J108" s="22">
        <f t="shared" si="14"/>
        <v>12.98</v>
      </c>
      <c r="K108" s="22">
        <f t="shared" si="16"/>
        <v>1.1000000000000001</v>
      </c>
      <c r="L108" s="22">
        <f t="shared" si="16"/>
        <v>0.65999999999999992</v>
      </c>
      <c r="M108" s="22">
        <f t="shared" si="16"/>
        <v>0.65999999999999992</v>
      </c>
      <c r="N108" s="22">
        <f t="shared" si="16"/>
        <v>0.99</v>
      </c>
      <c r="O108" s="22">
        <f t="shared" si="16"/>
        <v>1.1000000000000001</v>
      </c>
      <c r="P108" s="22">
        <f t="shared" si="16"/>
        <v>1.65</v>
      </c>
      <c r="Q108" s="22">
        <f t="shared" si="16"/>
        <v>2.2000000000000002</v>
      </c>
      <c r="R108" s="22">
        <f t="shared" si="16"/>
        <v>2.2000000000000002</v>
      </c>
      <c r="S108" s="22">
        <f t="shared" si="16"/>
        <v>0.99</v>
      </c>
      <c r="T108" s="22">
        <f t="shared" si="16"/>
        <v>0.99</v>
      </c>
      <c r="U108" s="22">
        <f t="shared" si="16"/>
        <v>1.65</v>
      </c>
      <c r="V108" s="22">
        <f t="shared" si="17"/>
        <v>2.2000000000000002</v>
      </c>
      <c r="W108" s="22">
        <f t="shared" si="17"/>
        <v>1.65</v>
      </c>
      <c r="X108" s="22">
        <f t="shared" si="17"/>
        <v>1.1000000000000001</v>
      </c>
      <c r="Y108" s="22">
        <f t="shared" si="17"/>
        <v>0.55000000000000004</v>
      </c>
      <c r="Z108" s="22">
        <f t="shared" si="17"/>
        <v>1.1000000000000001</v>
      </c>
    </row>
    <row r="109" spans="1:26" x14ac:dyDescent="0.3">
      <c r="A109" s="22">
        <f t="shared" si="10"/>
        <v>49.887500000000017</v>
      </c>
      <c r="B109" s="22">
        <f t="shared" si="11"/>
        <v>9.9775000000000027</v>
      </c>
      <c r="C109" s="22">
        <f t="shared" si="12"/>
        <v>39.910000000000011</v>
      </c>
      <c r="D109" s="24" t="s">
        <v>105</v>
      </c>
      <c r="E109" s="24" t="s">
        <v>437</v>
      </c>
      <c r="F109" s="17" t="s">
        <v>114</v>
      </c>
      <c r="G109" s="22">
        <v>13</v>
      </c>
      <c r="H109" s="16">
        <v>0.18</v>
      </c>
      <c r="I109" s="22">
        <f t="shared" si="13"/>
        <v>2.34</v>
      </c>
      <c r="J109" s="22">
        <f t="shared" si="14"/>
        <v>15.34</v>
      </c>
      <c r="K109" s="22">
        <f t="shared" si="16"/>
        <v>1.3</v>
      </c>
      <c r="L109" s="22">
        <f t="shared" si="16"/>
        <v>0.78</v>
      </c>
      <c r="M109" s="22">
        <f t="shared" si="16"/>
        <v>0.78</v>
      </c>
      <c r="N109" s="22">
        <f t="shared" si="16"/>
        <v>1.17</v>
      </c>
      <c r="O109" s="22">
        <f t="shared" si="16"/>
        <v>1.3</v>
      </c>
      <c r="P109" s="22">
        <f t="shared" si="16"/>
        <v>1.95</v>
      </c>
      <c r="Q109" s="22">
        <f t="shared" si="16"/>
        <v>2.6</v>
      </c>
      <c r="R109" s="22">
        <f t="shared" si="16"/>
        <v>2.6</v>
      </c>
      <c r="S109" s="22">
        <f t="shared" si="16"/>
        <v>1.17</v>
      </c>
      <c r="T109" s="22">
        <f t="shared" si="16"/>
        <v>1.17</v>
      </c>
      <c r="U109" s="22">
        <f t="shared" si="16"/>
        <v>1.95</v>
      </c>
      <c r="V109" s="22">
        <f t="shared" si="17"/>
        <v>2.6</v>
      </c>
      <c r="W109" s="22">
        <f t="shared" si="17"/>
        <v>1.95</v>
      </c>
      <c r="X109" s="22">
        <f t="shared" si="17"/>
        <v>1.3</v>
      </c>
      <c r="Y109" s="22">
        <f t="shared" si="17"/>
        <v>0.65</v>
      </c>
      <c r="Z109" s="22">
        <f t="shared" si="17"/>
        <v>1.3</v>
      </c>
    </row>
    <row r="110" spans="1:26" x14ac:dyDescent="0.3">
      <c r="A110" s="22">
        <f t="shared" si="10"/>
        <v>65.237499999999997</v>
      </c>
      <c r="B110" s="22">
        <f t="shared" si="11"/>
        <v>13.047499999999999</v>
      </c>
      <c r="C110" s="22">
        <f t="shared" si="12"/>
        <v>52.19</v>
      </c>
      <c r="D110" s="24" t="s">
        <v>105</v>
      </c>
      <c r="E110" s="24" t="s">
        <v>437</v>
      </c>
      <c r="F110" s="17" t="s">
        <v>115</v>
      </c>
      <c r="G110" s="22">
        <v>17</v>
      </c>
      <c r="H110" s="16">
        <v>0.18</v>
      </c>
      <c r="I110" s="22">
        <f t="shared" si="13"/>
        <v>3.06</v>
      </c>
      <c r="J110" s="22">
        <f t="shared" si="14"/>
        <v>20.059999999999999</v>
      </c>
      <c r="K110" s="22">
        <f t="shared" si="16"/>
        <v>1.7000000000000002</v>
      </c>
      <c r="L110" s="22">
        <f t="shared" si="16"/>
        <v>1.02</v>
      </c>
      <c r="M110" s="22">
        <f t="shared" si="16"/>
        <v>1.02</v>
      </c>
      <c r="N110" s="22">
        <f t="shared" si="16"/>
        <v>1.53</v>
      </c>
      <c r="O110" s="22">
        <f t="shared" si="16"/>
        <v>1.7000000000000002</v>
      </c>
      <c r="P110" s="22">
        <f t="shared" si="16"/>
        <v>2.5499999999999998</v>
      </c>
      <c r="Q110" s="22">
        <f t="shared" si="16"/>
        <v>3.4000000000000004</v>
      </c>
      <c r="R110" s="22">
        <f t="shared" si="16"/>
        <v>3.4000000000000004</v>
      </c>
      <c r="S110" s="22">
        <f t="shared" si="16"/>
        <v>1.53</v>
      </c>
      <c r="T110" s="22">
        <f t="shared" si="16"/>
        <v>1.53</v>
      </c>
      <c r="U110" s="22">
        <f t="shared" si="16"/>
        <v>2.5499999999999998</v>
      </c>
      <c r="V110" s="22">
        <f t="shared" si="17"/>
        <v>3.4000000000000004</v>
      </c>
      <c r="W110" s="22">
        <f t="shared" si="17"/>
        <v>2.5499999999999998</v>
      </c>
      <c r="X110" s="22">
        <f t="shared" si="17"/>
        <v>1.7000000000000002</v>
      </c>
      <c r="Y110" s="22">
        <f t="shared" si="17"/>
        <v>0.85000000000000009</v>
      </c>
      <c r="Z110" s="22">
        <f t="shared" si="17"/>
        <v>1.7000000000000002</v>
      </c>
    </row>
    <row r="111" spans="1:26" x14ac:dyDescent="0.3">
      <c r="A111" s="22">
        <f t="shared" si="10"/>
        <v>92.1</v>
      </c>
      <c r="B111" s="22">
        <f t="shared" si="11"/>
        <v>18.419999999999998</v>
      </c>
      <c r="C111" s="22">
        <f t="shared" si="12"/>
        <v>73.679999999999993</v>
      </c>
      <c r="D111" s="24" t="s">
        <v>105</v>
      </c>
      <c r="E111" s="24" t="s">
        <v>437</v>
      </c>
      <c r="F111" s="17" t="s">
        <v>116</v>
      </c>
      <c r="G111" s="22">
        <v>24</v>
      </c>
      <c r="H111" s="16">
        <v>0.18</v>
      </c>
      <c r="I111" s="22">
        <f t="shared" si="13"/>
        <v>4.32</v>
      </c>
      <c r="J111" s="22">
        <f t="shared" si="14"/>
        <v>28.32</v>
      </c>
      <c r="K111" s="22">
        <f t="shared" si="16"/>
        <v>2.4000000000000004</v>
      </c>
      <c r="L111" s="22">
        <f t="shared" si="16"/>
        <v>1.44</v>
      </c>
      <c r="M111" s="22">
        <f t="shared" si="16"/>
        <v>1.44</v>
      </c>
      <c r="N111" s="22">
        <f t="shared" si="16"/>
        <v>2.16</v>
      </c>
      <c r="O111" s="22">
        <f t="shared" si="16"/>
        <v>2.4000000000000004</v>
      </c>
      <c r="P111" s="22">
        <f t="shared" si="16"/>
        <v>3.5999999999999996</v>
      </c>
      <c r="Q111" s="22">
        <f t="shared" si="16"/>
        <v>4.8000000000000007</v>
      </c>
      <c r="R111" s="22">
        <f t="shared" si="16"/>
        <v>4.8000000000000007</v>
      </c>
      <c r="S111" s="22">
        <f t="shared" si="16"/>
        <v>2.16</v>
      </c>
      <c r="T111" s="22">
        <f t="shared" si="16"/>
        <v>2.16</v>
      </c>
      <c r="U111" s="22">
        <f t="shared" si="16"/>
        <v>3.5999999999999996</v>
      </c>
      <c r="V111" s="22">
        <f t="shared" si="17"/>
        <v>4.8000000000000007</v>
      </c>
      <c r="W111" s="22">
        <f t="shared" si="17"/>
        <v>3.5999999999999996</v>
      </c>
      <c r="X111" s="22">
        <f t="shared" si="17"/>
        <v>2.4000000000000004</v>
      </c>
      <c r="Y111" s="22">
        <f t="shared" si="17"/>
        <v>1.2000000000000002</v>
      </c>
      <c r="Z111" s="22">
        <f t="shared" si="17"/>
        <v>2.4000000000000004</v>
      </c>
    </row>
    <row r="112" spans="1:26" x14ac:dyDescent="0.3">
      <c r="A112" s="22">
        <f t="shared" si="10"/>
        <v>115.125</v>
      </c>
      <c r="B112" s="22">
        <f t="shared" si="11"/>
        <v>23.024999999999999</v>
      </c>
      <c r="C112" s="22">
        <f t="shared" si="12"/>
        <v>92.1</v>
      </c>
      <c r="D112" s="24" t="s">
        <v>105</v>
      </c>
      <c r="E112" s="24" t="s">
        <v>437</v>
      </c>
      <c r="F112" s="17" t="s">
        <v>117</v>
      </c>
      <c r="G112" s="22">
        <v>30</v>
      </c>
      <c r="H112" s="16">
        <v>0.18</v>
      </c>
      <c r="I112" s="22">
        <f t="shared" si="13"/>
        <v>5.3999999999999995</v>
      </c>
      <c r="J112" s="22">
        <f t="shared" si="14"/>
        <v>35.4</v>
      </c>
      <c r="K112" s="22">
        <f t="shared" si="16"/>
        <v>3</v>
      </c>
      <c r="L112" s="22">
        <f t="shared" si="16"/>
        <v>1.7999999999999998</v>
      </c>
      <c r="M112" s="22">
        <f t="shared" si="16"/>
        <v>1.7999999999999998</v>
      </c>
      <c r="N112" s="22">
        <f t="shared" si="16"/>
        <v>2.6999999999999997</v>
      </c>
      <c r="O112" s="22">
        <f t="shared" si="16"/>
        <v>3</v>
      </c>
      <c r="P112" s="22">
        <f t="shared" si="16"/>
        <v>4.5</v>
      </c>
      <c r="Q112" s="22">
        <f t="shared" si="16"/>
        <v>6</v>
      </c>
      <c r="R112" s="22">
        <f t="shared" si="16"/>
        <v>6</v>
      </c>
      <c r="S112" s="22">
        <f t="shared" si="16"/>
        <v>2.6999999999999997</v>
      </c>
      <c r="T112" s="22">
        <f t="shared" si="16"/>
        <v>2.6999999999999997</v>
      </c>
      <c r="U112" s="22">
        <f t="shared" si="16"/>
        <v>4.5</v>
      </c>
      <c r="V112" s="22">
        <f t="shared" si="17"/>
        <v>6</v>
      </c>
      <c r="W112" s="22">
        <f t="shared" si="17"/>
        <v>4.5</v>
      </c>
      <c r="X112" s="22">
        <f t="shared" si="17"/>
        <v>3</v>
      </c>
      <c r="Y112" s="22">
        <f t="shared" si="17"/>
        <v>1.5</v>
      </c>
      <c r="Z112" s="22">
        <f t="shared" si="17"/>
        <v>3</v>
      </c>
    </row>
    <row r="113" spans="1:26" x14ac:dyDescent="0.3">
      <c r="A113" s="22">
        <f t="shared" si="10"/>
        <v>460.5</v>
      </c>
      <c r="B113" s="22">
        <f t="shared" si="11"/>
        <v>92.1</v>
      </c>
      <c r="C113" s="22">
        <f t="shared" si="12"/>
        <v>368.4</v>
      </c>
      <c r="D113" s="24" t="s">
        <v>105</v>
      </c>
      <c r="E113" s="24" t="s">
        <v>437</v>
      </c>
      <c r="F113" s="17" t="s">
        <v>118</v>
      </c>
      <c r="G113" s="22">
        <v>120</v>
      </c>
      <c r="H113" s="16">
        <v>0.18</v>
      </c>
      <c r="I113" s="22">
        <f t="shared" si="13"/>
        <v>21.599999999999998</v>
      </c>
      <c r="J113" s="22">
        <f t="shared" si="14"/>
        <v>141.6</v>
      </c>
      <c r="K113" s="22">
        <f t="shared" si="16"/>
        <v>12</v>
      </c>
      <c r="L113" s="22">
        <f t="shared" si="16"/>
        <v>7.1999999999999993</v>
      </c>
      <c r="M113" s="22">
        <f t="shared" si="16"/>
        <v>7.1999999999999993</v>
      </c>
      <c r="N113" s="22">
        <f t="shared" si="16"/>
        <v>10.799999999999999</v>
      </c>
      <c r="O113" s="22">
        <f t="shared" ref="N113:X176" si="18">$G113*O$1</f>
        <v>12</v>
      </c>
      <c r="P113" s="22">
        <f t="shared" si="18"/>
        <v>18</v>
      </c>
      <c r="Q113" s="22">
        <f t="shared" si="18"/>
        <v>24</v>
      </c>
      <c r="R113" s="22">
        <f t="shared" si="18"/>
        <v>24</v>
      </c>
      <c r="S113" s="22">
        <f t="shared" si="18"/>
        <v>10.799999999999999</v>
      </c>
      <c r="T113" s="22">
        <f t="shared" si="18"/>
        <v>10.799999999999999</v>
      </c>
      <c r="U113" s="22">
        <f t="shared" si="18"/>
        <v>18</v>
      </c>
      <c r="V113" s="22">
        <f t="shared" si="17"/>
        <v>24</v>
      </c>
      <c r="W113" s="22">
        <f t="shared" si="17"/>
        <v>18</v>
      </c>
      <c r="X113" s="22">
        <f t="shared" si="17"/>
        <v>12</v>
      </c>
      <c r="Y113" s="22">
        <f t="shared" si="17"/>
        <v>6</v>
      </c>
      <c r="Z113" s="22">
        <f t="shared" si="17"/>
        <v>12</v>
      </c>
    </row>
    <row r="114" spans="1:26" x14ac:dyDescent="0.3">
      <c r="A114" s="22">
        <f t="shared" si="10"/>
        <v>306.99999999999994</v>
      </c>
      <c r="B114" s="22">
        <f t="shared" si="11"/>
        <v>61.399999999999991</v>
      </c>
      <c r="C114" s="22">
        <f t="shared" si="12"/>
        <v>245.59999999999997</v>
      </c>
      <c r="D114" s="24" t="s">
        <v>105</v>
      </c>
      <c r="E114" s="24" t="s">
        <v>437</v>
      </c>
      <c r="F114" s="17" t="s">
        <v>119</v>
      </c>
      <c r="G114" s="22">
        <v>80</v>
      </c>
      <c r="H114" s="16">
        <v>0.18</v>
      </c>
      <c r="I114" s="22">
        <f t="shared" si="13"/>
        <v>14.399999999999999</v>
      </c>
      <c r="J114" s="22">
        <f t="shared" si="14"/>
        <v>94.4</v>
      </c>
      <c r="K114" s="22">
        <f t="shared" ref="K114:X177" si="19">$G114*K$1</f>
        <v>8</v>
      </c>
      <c r="L114" s="22">
        <f t="shared" si="19"/>
        <v>4.8</v>
      </c>
      <c r="M114" s="22">
        <f t="shared" si="19"/>
        <v>4.8</v>
      </c>
      <c r="N114" s="22">
        <f t="shared" si="18"/>
        <v>7.1999999999999993</v>
      </c>
      <c r="O114" s="22">
        <f t="shared" si="18"/>
        <v>8</v>
      </c>
      <c r="P114" s="22">
        <f t="shared" si="18"/>
        <v>12</v>
      </c>
      <c r="Q114" s="22">
        <f t="shared" si="18"/>
        <v>16</v>
      </c>
      <c r="R114" s="22">
        <f t="shared" si="18"/>
        <v>16</v>
      </c>
      <c r="S114" s="22">
        <f t="shared" si="18"/>
        <v>7.1999999999999993</v>
      </c>
      <c r="T114" s="22">
        <f t="shared" si="18"/>
        <v>7.1999999999999993</v>
      </c>
      <c r="U114" s="22">
        <f t="shared" si="18"/>
        <v>12</v>
      </c>
      <c r="V114" s="22">
        <f t="shared" si="17"/>
        <v>16</v>
      </c>
      <c r="W114" s="22">
        <f t="shared" si="17"/>
        <v>12</v>
      </c>
      <c r="X114" s="22">
        <f t="shared" si="17"/>
        <v>8</v>
      </c>
      <c r="Y114" s="22">
        <f t="shared" si="17"/>
        <v>4</v>
      </c>
      <c r="Z114" s="22">
        <f t="shared" si="17"/>
        <v>8</v>
      </c>
    </row>
    <row r="115" spans="1:26" x14ac:dyDescent="0.3">
      <c r="A115" s="22">
        <f t="shared" si="10"/>
        <v>671.5625</v>
      </c>
      <c r="B115" s="22">
        <f t="shared" si="11"/>
        <v>134.3125</v>
      </c>
      <c r="C115" s="22">
        <f t="shared" si="12"/>
        <v>537.25</v>
      </c>
      <c r="D115" s="24" t="s">
        <v>105</v>
      </c>
      <c r="E115" s="24" t="s">
        <v>437</v>
      </c>
      <c r="F115" s="17" t="s">
        <v>120</v>
      </c>
      <c r="G115" s="22">
        <v>175</v>
      </c>
      <c r="H115" s="16">
        <v>0.18</v>
      </c>
      <c r="I115" s="22">
        <f t="shared" si="13"/>
        <v>31.5</v>
      </c>
      <c r="J115" s="22">
        <f t="shared" si="14"/>
        <v>206.5</v>
      </c>
      <c r="K115" s="22">
        <f t="shared" si="19"/>
        <v>17.5</v>
      </c>
      <c r="L115" s="22">
        <f t="shared" si="19"/>
        <v>10.5</v>
      </c>
      <c r="M115" s="22">
        <f t="shared" si="19"/>
        <v>10.5</v>
      </c>
      <c r="N115" s="22">
        <f t="shared" si="18"/>
        <v>15.75</v>
      </c>
      <c r="O115" s="22">
        <f t="shared" si="18"/>
        <v>17.5</v>
      </c>
      <c r="P115" s="22">
        <f t="shared" si="18"/>
        <v>26.25</v>
      </c>
      <c r="Q115" s="22">
        <f t="shared" si="18"/>
        <v>35</v>
      </c>
      <c r="R115" s="22">
        <f t="shared" si="18"/>
        <v>35</v>
      </c>
      <c r="S115" s="22">
        <f t="shared" si="18"/>
        <v>15.75</v>
      </c>
      <c r="T115" s="22">
        <f t="shared" si="18"/>
        <v>15.75</v>
      </c>
      <c r="U115" s="22">
        <f t="shared" si="18"/>
        <v>26.25</v>
      </c>
      <c r="V115" s="22">
        <f t="shared" si="17"/>
        <v>35</v>
      </c>
      <c r="W115" s="22">
        <f t="shared" si="17"/>
        <v>26.25</v>
      </c>
      <c r="X115" s="22">
        <f t="shared" si="17"/>
        <v>17.5</v>
      </c>
      <c r="Y115" s="22">
        <f t="shared" si="17"/>
        <v>8.75</v>
      </c>
      <c r="Z115" s="22">
        <f t="shared" si="17"/>
        <v>17.5</v>
      </c>
    </row>
    <row r="116" spans="1:26" x14ac:dyDescent="0.3">
      <c r="A116" s="22">
        <f t="shared" si="10"/>
        <v>729.12500000000011</v>
      </c>
      <c r="B116" s="22">
        <f t="shared" si="11"/>
        <v>145.82500000000002</v>
      </c>
      <c r="C116" s="22">
        <f t="shared" si="12"/>
        <v>583.30000000000007</v>
      </c>
      <c r="D116" s="24" t="s">
        <v>105</v>
      </c>
      <c r="E116" s="24" t="s">
        <v>437</v>
      </c>
      <c r="F116" s="17" t="s">
        <v>121</v>
      </c>
      <c r="G116" s="22">
        <v>190</v>
      </c>
      <c r="H116" s="16">
        <v>0.18</v>
      </c>
      <c r="I116" s="22">
        <f t="shared" si="13"/>
        <v>34.199999999999996</v>
      </c>
      <c r="J116" s="22">
        <f t="shared" si="14"/>
        <v>224.2</v>
      </c>
      <c r="K116" s="22">
        <f t="shared" si="19"/>
        <v>19</v>
      </c>
      <c r="L116" s="22">
        <f t="shared" si="19"/>
        <v>11.4</v>
      </c>
      <c r="M116" s="22">
        <f t="shared" si="19"/>
        <v>11.4</v>
      </c>
      <c r="N116" s="22">
        <f t="shared" si="18"/>
        <v>17.099999999999998</v>
      </c>
      <c r="O116" s="22">
        <f t="shared" si="18"/>
        <v>19</v>
      </c>
      <c r="P116" s="22">
        <f t="shared" si="18"/>
        <v>28.5</v>
      </c>
      <c r="Q116" s="22">
        <f t="shared" si="18"/>
        <v>38</v>
      </c>
      <c r="R116" s="22">
        <f t="shared" si="18"/>
        <v>38</v>
      </c>
      <c r="S116" s="22">
        <f t="shared" si="18"/>
        <v>17.099999999999998</v>
      </c>
      <c r="T116" s="22">
        <f t="shared" si="18"/>
        <v>17.099999999999998</v>
      </c>
      <c r="U116" s="22">
        <f t="shared" si="18"/>
        <v>28.5</v>
      </c>
      <c r="V116" s="22">
        <f t="shared" si="17"/>
        <v>38</v>
      </c>
      <c r="W116" s="22">
        <f t="shared" si="17"/>
        <v>28.5</v>
      </c>
      <c r="X116" s="22">
        <f t="shared" si="17"/>
        <v>19</v>
      </c>
      <c r="Y116" s="22">
        <f t="shared" si="17"/>
        <v>9.5</v>
      </c>
      <c r="Z116" s="22">
        <f t="shared" si="17"/>
        <v>19</v>
      </c>
    </row>
    <row r="117" spans="1:26" x14ac:dyDescent="0.3">
      <c r="A117" s="22">
        <f t="shared" si="10"/>
        <v>997.75</v>
      </c>
      <c r="B117" s="22">
        <f t="shared" si="11"/>
        <v>199.55</v>
      </c>
      <c r="C117" s="22">
        <f t="shared" si="12"/>
        <v>798.2</v>
      </c>
      <c r="D117" s="24" t="s">
        <v>105</v>
      </c>
      <c r="E117" s="24" t="s">
        <v>437</v>
      </c>
      <c r="F117" s="17" t="s">
        <v>122</v>
      </c>
      <c r="G117" s="22">
        <v>260</v>
      </c>
      <c r="H117" s="16">
        <v>0.18</v>
      </c>
      <c r="I117" s="22">
        <f t="shared" si="13"/>
        <v>46.8</v>
      </c>
      <c r="J117" s="22">
        <f t="shared" si="14"/>
        <v>306.8</v>
      </c>
      <c r="K117" s="22">
        <f t="shared" si="19"/>
        <v>26</v>
      </c>
      <c r="L117" s="22">
        <f t="shared" si="19"/>
        <v>15.6</v>
      </c>
      <c r="M117" s="22">
        <f t="shared" si="19"/>
        <v>15.6</v>
      </c>
      <c r="N117" s="22">
        <f t="shared" si="18"/>
        <v>23.4</v>
      </c>
      <c r="O117" s="22">
        <f t="shared" si="18"/>
        <v>26</v>
      </c>
      <c r="P117" s="22">
        <f t="shared" si="18"/>
        <v>39</v>
      </c>
      <c r="Q117" s="22">
        <f t="shared" si="18"/>
        <v>52</v>
      </c>
      <c r="R117" s="22">
        <f t="shared" si="18"/>
        <v>52</v>
      </c>
      <c r="S117" s="22">
        <f t="shared" si="18"/>
        <v>23.4</v>
      </c>
      <c r="T117" s="22">
        <f t="shared" si="18"/>
        <v>23.4</v>
      </c>
      <c r="U117" s="22">
        <f t="shared" si="18"/>
        <v>39</v>
      </c>
      <c r="V117" s="22">
        <f t="shared" si="17"/>
        <v>52</v>
      </c>
      <c r="W117" s="22">
        <f t="shared" si="17"/>
        <v>39</v>
      </c>
      <c r="X117" s="22">
        <f t="shared" si="17"/>
        <v>26</v>
      </c>
      <c r="Y117" s="22">
        <f t="shared" si="17"/>
        <v>13</v>
      </c>
      <c r="Z117" s="22">
        <f t="shared" si="17"/>
        <v>26</v>
      </c>
    </row>
    <row r="118" spans="1:26" x14ac:dyDescent="0.3">
      <c r="A118" s="22">
        <f t="shared" si="10"/>
        <v>306.99999999999994</v>
      </c>
      <c r="B118" s="22">
        <f t="shared" si="11"/>
        <v>61.399999999999991</v>
      </c>
      <c r="C118" s="22">
        <f t="shared" si="12"/>
        <v>245.59999999999997</v>
      </c>
      <c r="D118" s="24" t="s">
        <v>105</v>
      </c>
      <c r="E118" s="24" t="s">
        <v>437</v>
      </c>
      <c r="F118" s="17" t="s">
        <v>123</v>
      </c>
      <c r="G118" s="22">
        <v>80</v>
      </c>
      <c r="H118" s="16">
        <v>0.18</v>
      </c>
      <c r="I118" s="22">
        <f t="shared" si="13"/>
        <v>14.399999999999999</v>
      </c>
      <c r="J118" s="22">
        <f t="shared" si="14"/>
        <v>94.4</v>
      </c>
      <c r="K118" s="22">
        <f t="shared" si="19"/>
        <v>8</v>
      </c>
      <c r="L118" s="22">
        <f t="shared" si="19"/>
        <v>4.8</v>
      </c>
      <c r="M118" s="22">
        <f t="shared" si="19"/>
        <v>4.8</v>
      </c>
      <c r="N118" s="22">
        <f t="shared" si="18"/>
        <v>7.1999999999999993</v>
      </c>
      <c r="O118" s="22">
        <f t="shared" si="18"/>
        <v>8</v>
      </c>
      <c r="P118" s="22">
        <f t="shared" si="18"/>
        <v>12</v>
      </c>
      <c r="Q118" s="22">
        <f t="shared" si="18"/>
        <v>16</v>
      </c>
      <c r="R118" s="22">
        <f t="shared" si="18"/>
        <v>16</v>
      </c>
      <c r="S118" s="22">
        <f t="shared" si="18"/>
        <v>7.1999999999999993</v>
      </c>
      <c r="T118" s="22">
        <f t="shared" si="18"/>
        <v>7.1999999999999993</v>
      </c>
      <c r="U118" s="22">
        <f t="shared" si="18"/>
        <v>12</v>
      </c>
      <c r="V118" s="22">
        <f t="shared" si="17"/>
        <v>16</v>
      </c>
      <c r="W118" s="22">
        <f t="shared" si="17"/>
        <v>12</v>
      </c>
      <c r="X118" s="22">
        <f t="shared" si="17"/>
        <v>8</v>
      </c>
      <c r="Y118" s="22">
        <f t="shared" si="17"/>
        <v>4</v>
      </c>
      <c r="Z118" s="22">
        <f t="shared" si="17"/>
        <v>8</v>
      </c>
    </row>
    <row r="119" spans="1:26" x14ac:dyDescent="0.3">
      <c r="A119" s="22">
        <f t="shared" si="10"/>
        <v>345.375</v>
      </c>
      <c r="B119" s="22">
        <f t="shared" si="11"/>
        <v>69.075000000000003</v>
      </c>
      <c r="C119" s="22">
        <f t="shared" si="12"/>
        <v>276.3</v>
      </c>
      <c r="D119" s="24" t="s">
        <v>105</v>
      </c>
      <c r="E119" s="24" t="s">
        <v>437</v>
      </c>
      <c r="F119" s="17" t="s">
        <v>124</v>
      </c>
      <c r="G119" s="22">
        <v>90</v>
      </c>
      <c r="H119" s="16">
        <v>0.18</v>
      </c>
      <c r="I119" s="22">
        <f t="shared" si="13"/>
        <v>16.2</v>
      </c>
      <c r="J119" s="22">
        <f t="shared" si="14"/>
        <v>106.2</v>
      </c>
      <c r="K119" s="22">
        <f t="shared" si="19"/>
        <v>9</v>
      </c>
      <c r="L119" s="22">
        <f t="shared" si="19"/>
        <v>5.3999999999999995</v>
      </c>
      <c r="M119" s="22">
        <f t="shared" si="19"/>
        <v>5.3999999999999995</v>
      </c>
      <c r="N119" s="22">
        <f t="shared" si="18"/>
        <v>8.1</v>
      </c>
      <c r="O119" s="22">
        <f t="shared" si="18"/>
        <v>9</v>
      </c>
      <c r="P119" s="22">
        <f t="shared" si="18"/>
        <v>13.5</v>
      </c>
      <c r="Q119" s="22">
        <f t="shared" si="18"/>
        <v>18</v>
      </c>
      <c r="R119" s="22">
        <f t="shared" si="18"/>
        <v>18</v>
      </c>
      <c r="S119" s="22">
        <f t="shared" si="18"/>
        <v>8.1</v>
      </c>
      <c r="T119" s="22">
        <f t="shared" si="18"/>
        <v>8.1</v>
      </c>
      <c r="U119" s="22">
        <f t="shared" si="18"/>
        <v>13.5</v>
      </c>
      <c r="V119" s="22">
        <f t="shared" si="17"/>
        <v>18</v>
      </c>
      <c r="W119" s="22">
        <f t="shared" si="17"/>
        <v>13.5</v>
      </c>
      <c r="X119" s="22">
        <f t="shared" si="17"/>
        <v>9</v>
      </c>
      <c r="Y119" s="22">
        <f t="shared" si="17"/>
        <v>4.5</v>
      </c>
      <c r="Z119" s="22">
        <f t="shared" si="17"/>
        <v>9</v>
      </c>
    </row>
    <row r="120" spans="1:26" x14ac:dyDescent="0.3">
      <c r="A120" s="22">
        <f t="shared" si="10"/>
        <v>76.749999999999986</v>
      </c>
      <c r="B120" s="22">
        <f t="shared" si="11"/>
        <v>15.349999999999998</v>
      </c>
      <c r="C120" s="22">
        <f t="shared" si="12"/>
        <v>61.399999999999991</v>
      </c>
      <c r="D120" s="24" t="s">
        <v>105</v>
      </c>
      <c r="E120" s="24" t="s">
        <v>437</v>
      </c>
      <c r="F120" s="17" t="s">
        <v>125</v>
      </c>
      <c r="G120" s="22">
        <v>20</v>
      </c>
      <c r="H120" s="16">
        <v>0.18</v>
      </c>
      <c r="I120" s="22">
        <f t="shared" si="13"/>
        <v>3.5999999999999996</v>
      </c>
      <c r="J120" s="22">
        <f t="shared" si="14"/>
        <v>23.6</v>
      </c>
      <c r="K120" s="22">
        <f t="shared" si="19"/>
        <v>2</v>
      </c>
      <c r="L120" s="22">
        <f t="shared" si="19"/>
        <v>1.2</v>
      </c>
      <c r="M120" s="22">
        <f t="shared" si="19"/>
        <v>1.2</v>
      </c>
      <c r="N120" s="22">
        <f t="shared" si="18"/>
        <v>1.7999999999999998</v>
      </c>
      <c r="O120" s="22">
        <f t="shared" si="18"/>
        <v>2</v>
      </c>
      <c r="P120" s="22">
        <f t="shared" si="18"/>
        <v>3</v>
      </c>
      <c r="Q120" s="22">
        <f t="shared" si="18"/>
        <v>4</v>
      </c>
      <c r="R120" s="22">
        <f t="shared" si="18"/>
        <v>4</v>
      </c>
      <c r="S120" s="22">
        <f t="shared" si="18"/>
        <v>1.7999999999999998</v>
      </c>
      <c r="T120" s="22">
        <f t="shared" si="18"/>
        <v>1.7999999999999998</v>
      </c>
      <c r="U120" s="22">
        <f t="shared" si="18"/>
        <v>3</v>
      </c>
      <c r="V120" s="22">
        <f t="shared" si="17"/>
        <v>4</v>
      </c>
      <c r="W120" s="22">
        <f t="shared" si="17"/>
        <v>3</v>
      </c>
      <c r="X120" s="22">
        <f t="shared" si="17"/>
        <v>2</v>
      </c>
      <c r="Y120" s="22">
        <f t="shared" si="17"/>
        <v>1</v>
      </c>
      <c r="Z120" s="22">
        <f t="shared" si="17"/>
        <v>2</v>
      </c>
    </row>
    <row r="121" spans="1:26" x14ac:dyDescent="0.3">
      <c r="A121" s="22">
        <f t="shared" si="10"/>
        <v>38.374999999999993</v>
      </c>
      <c r="B121" s="22">
        <f t="shared" si="11"/>
        <v>7.6749999999999989</v>
      </c>
      <c r="C121" s="22">
        <f t="shared" si="12"/>
        <v>30.699999999999996</v>
      </c>
      <c r="D121" s="24" t="s">
        <v>105</v>
      </c>
      <c r="E121" s="24" t="s">
        <v>437</v>
      </c>
      <c r="F121" s="17" t="s">
        <v>126</v>
      </c>
      <c r="G121" s="22">
        <v>10</v>
      </c>
      <c r="H121" s="16">
        <v>0.18</v>
      </c>
      <c r="I121" s="22">
        <f t="shared" si="13"/>
        <v>1.7999999999999998</v>
      </c>
      <c r="J121" s="22">
        <f t="shared" si="14"/>
        <v>11.8</v>
      </c>
      <c r="K121" s="22">
        <f t="shared" si="19"/>
        <v>1</v>
      </c>
      <c r="L121" s="22">
        <f t="shared" si="19"/>
        <v>0.6</v>
      </c>
      <c r="M121" s="22">
        <f t="shared" si="19"/>
        <v>0.6</v>
      </c>
      <c r="N121" s="22">
        <f t="shared" si="18"/>
        <v>0.89999999999999991</v>
      </c>
      <c r="O121" s="22">
        <f t="shared" si="18"/>
        <v>1</v>
      </c>
      <c r="P121" s="22">
        <f t="shared" si="18"/>
        <v>1.5</v>
      </c>
      <c r="Q121" s="22">
        <f t="shared" si="18"/>
        <v>2</v>
      </c>
      <c r="R121" s="22">
        <f t="shared" si="18"/>
        <v>2</v>
      </c>
      <c r="S121" s="22">
        <f t="shared" si="18"/>
        <v>0.89999999999999991</v>
      </c>
      <c r="T121" s="22">
        <f t="shared" si="18"/>
        <v>0.89999999999999991</v>
      </c>
      <c r="U121" s="22">
        <f t="shared" si="18"/>
        <v>1.5</v>
      </c>
      <c r="V121" s="22">
        <f t="shared" si="17"/>
        <v>2</v>
      </c>
      <c r="W121" s="22">
        <f t="shared" si="17"/>
        <v>1.5</v>
      </c>
      <c r="X121" s="22">
        <f t="shared" si="17"/>
        <v>1</v>
      </c>
      <c r="Y121" s="22">
        <f t="shared" si="17"/>
        <v>0.5</v>
      </c>
      <c r="Z121" s="22">
        <f t="shared" si="17"/>
        <v>1</v>
      </c>
    </row>
    <row r="122" spans="1:26" x14ac:dyDescent="0.3">
      <c r="A122" s="22">
        <f t="shared" si="10"/>
        <v>53.725000000000009</v>
      </c>
      <c r="B122" s="22">
        <f t="shared" si="11"/>
        <v>10.745000000000001</v>
      </c>
      <c r="C122" s="22">
        <f t="shared" si="12"/>
        <v>42.980000000000004</v>
      </c>
      <c r="D122" s="24" t="s">
        <v>105</v>
      </c>
      <c r="E122" s="24" t="s">
        <v>437</v>
      </c>
      <c r="F122" s="17" t="s">
        <v>127</v>
      </c>
      <c r="G122" s="22">
        <v>14</v>
      </c>
      <c r="H122" s="16">
        <v>0.18</v>
      </c>
      <c r="I122" s="22">
        <f t="shared" si="13"/>
        <v>2.52</v>
      </c>
      <c r="J122" s="22">
        <f t="shared" si="14"/>
        <v>16.52</v>
      </c>
      <c r="K122" s="22">
        <f t="shared" si="19"/>
        <v>1.4000000000000001</v>
      </c>
      <c r="L122" s="22">
        <f t="shared" si="19"/>
        <v>0.84</v>
      </c>
      <c r="M122" s="22">
        <f t="shared" si="19"/>
        <v>0.84</v>
      </c>
      <c r="N122" s="22">
        <f t="shared" si="18"/>
        <v>1.26</v>
      </c>
      <c r="O122" s="22">
        <f t="shared" si="18"/>
        <v>1.4000000000000001</v>
      </c>
      <c r="P122" s="22">
        <f t="shared" si="18"/>
        <v>2.1</v>
      </c>
      <c r="Q122" s="22">
        <f t="shared" si="18"/>
        <v>2.8000000000000003</v>
      </c>
      <c r="R122" s="22">
        <f t="shared" si="18"/>
        <v>2.8000000000000003</v>
      </c>
      <c r="S122" s="22">
        <f t="shared" si="18"/>
        <v>1.26</v>
      </c>
      <c r="T122" s="22">
        <f t="shared" si="18"/>
        <v>1.26</v>
      </c>
      <c r="U122" s="22">
        <f t="shared" si="18"/>
        <v>2.1</v>
      </c>
      <c r="V122" s="22">
        <f t="shared" si="17"/>
        <v>2.8000000000000003</v>
      </c>
      <c r="W122" s="22">
        <f t="shared" si="17"/>
        <v>2.1</v>
      </c>
      <c r="X122" s="22">
        <f t="shared" si="17"/>
        <v>1.4000000000000001</v>
      </c>
      <c r="Y122" s="22">
        <f t="shared" si="17"/>
        <v>0.70000000000000007</v>
      </c>
      <c r="Z122" s="22">
        <f t="shared" si="17"/>
        <v>1.4000000000000001</v>
      </c>
    </row>
    <row r="123" spans="1:26" x14ac:dyDescent="0.3">
      <c r="A123" s="22">
        <f t="shared" si="10"/>
        <v>38.374999999999993</v>
      </c>
      <c r="B123" s="22">
        <f t="shared" si="11"/>
        <v>7.6749999999999989</v>
      </c>
      <c r="C123" s="22">
        <f t="shared" si="12"/>
        <v>30.699999999999996</v>
      </c>
      <c r="D123" s="24" t="s">
        <v>105</v>
      </c>
      <c r="E123" s="24" t="s">
        <v>437</v>
      </c>
      <c r="F123" s="17" t="s">
        <v>128</v>
      </c>
      <c r="G123" s="22">
        <v>10</v>
      </c>
      <c r="H123" s="16">
        <v>0.18</v>
      </c>
      <c r="I123" s="22">
        <f t="shared" si="13"/>
        <v>1.7999999999999998</v>
      </c>
      <c r="J123" s="22">
        <f t="shared" si="14"/>
        <v>11.8</v>
      </c>
      <c r="K123" s="22">
        <f t="shared" si="19"/>
        <v>1</v>
      </c>
      <c r="L123" s="22">
        <f t="shared" si="19"/>
        <v>0.6</v>
      </c>
      <c r="M123" s="22">
        <f t="shared" si="19"/>
        <v>0.6</v>
      </c>
      <c r="N123" s="22">
        <f t="shared" si="18"/>
        <v>0.89999999999999991</v>
      </c>
      <c r="O123" s="22">
        <f t="shared" si="18"/>
        <v>1</v>
      </c>
      <c r="P123" s="22">
        <f t="shared" si="18"/>
        <v>1.5</v>
      </c>
      <c r="Q123" s="22">
        <f t="shared" si="18"/>
        <v>2</v>
      </c>
      <c r="R123" s="22">
        <f t="shared" si="18"/>
        <v>2</v>
      </c>
      <c r="S123" s="22">
        <f t="shared" si="18"/>
        <v>0.89999999999999991</v>
      </c>
      <c r="T123" s="22">
        <f t="shared" si="18"/>
        <v>0.89999999999999991</v>
      </c>
      <c r="U123" s="22">
        <f t="shared" si="18"/>
        <v>1.5</v>
      </c>
      <c r="V123" s="22">
        <f t="shared" si="17"/>
        <v>2</v>
      </c>
      <c r="W123" s="22">
        <f t="shared" si="17"/>
        <v>1.5</v>
      </c>
      <c r="X123" s="22">
        <f t="shared" si="17"/>
        <v>1</v>
      </c>
      <c r="Y123" s="22">
        <f t="shared" si="17"/>
        <v>0.5</v>
      </c>
      <c r="Z123" s="22">
        <f t="shared" si="17"/>
        <v>1</v>
      </c>
    </row>
    <row r="124" spans="1:26" x14ac:dyDescent="0.3">
      <c r="A124" s="22">
        <f t="shared" si="10"/>
        <v>23.024999999999999</v>
      </c>
      <c r="B124" s="22">
        <f t="shared" si="11"/>
        <v>4.6049999999999995</v>
      </c>
      <c r="C124" s="22">
        <f t="shared" si="12"/>
        <v>18.419999999999998</v>
      </c>
      <c r="D124" s="24" t="s">
        <v>105</v>
      </c>
      <c r="E124" s="24" t="s">
        <v>437</v>
      </c>
      <c r="F124" s="17" t="s">
        <v>129</v>
      </c>
      <c r="G124" s="22">
        <v>6</v>
      </c>
      <c r="H124" s="16">
        <v>0.18</v>
      </c>
      <c r="I124" s="22">
        <f t="shared" si="13"/>
        <v>1.08</v>
      </c>
      <c r="J124" s="22">
        <f t="shared" si="14"/>
        <v>7.08</v>
      </c>
      <c r="K124" s="22">
        <f t="shared" si="19"/>
        <v>0.60000000000000009</v>
      </c>
      <c r="L124" s="22">
        <f t="shared" si="19"/>
        <v>0.36</v>
      </c>
      <c r="M124" s="22">
        <f t="shared" si="19"/>
        <v>0.36</v>
      </c>
      <c r="N124" s="22">
        <f t="shared" si="18"/>
        <v>0.54</v>
      </c>
      <c r="O124" s="22">
        <f t="shared" si="18"/>
        <v>0.60000000000000009</v>
      </c>
      <c r="P124" s="22">
        <f t="shared" si="18"/>
        <v>0.89999999999999991</v>
      </c>
      <c r="Q124" s="22">
        <f t="shared" si="18"/>
        <v>1.2000000000000002</v>
      </c>
      <c r="R124" s="22">
        <f t="shared" si="18"/>
        <v>1.2000000000000002</v>
      </c>
      <c r="S124" s="22">
        <f t="shared" si="18"/>
        <v>0.54</v>
      </c>
      <c r="T124" s="22">
        <f t="shared" si="18"/>
        <v>0.54</v>
      </c>
      <c r="U124" s="22">
        <f t="shared" si="18"/>
        <v>0.89999999999999991</v>
      </c>
      <c r="V124" s="22">
        <f t="shared" si="17"/>
        <v>1.2000000000000002</v>
      </c>
      <c r="W124" s="22">
        <f t="shared" si="17"/>
        <v>0.89999999999999991</v>
      </c>
      <c r="X124" s="22">
        <f t="shared" si="17"/>
        <v>0.60000000000000009</v>
      </c>
      <c r="Y124" s="22">
        <f t="shared" si="17"/>
        <v>0.30000000000000004</v>
      </c>
      <c r="Z124" s="22">
        <f t="shared" si="17"/>
        <v>0.60000000000000009</v>
      </c>
    </row>
    <row r="125" spans="1:26" x14ac:dyDescent="0.3">
      <c r="A125" s="22">
        <f t="shared" si="10"/>
        <v>65.237499999999997</v>
      </c>
      <c r="B125" s="22">
        <f t="shared" si="11"/>
        <v>13.047499999999999</v>
      </c>
      <c r="C125" s="22">
        <f t="shared" si="12"/>
        <v>52.19</v>
      </c>
      <c r="D125" s="24" t="s">
        <v>105</v>
      </c>
      <c r="E125" s="24" t="s">
        <v>437</v>
      </c>
      <c r="F125" s="17" t="s">
        <v>130</v>
      </c>
      <c r="G125" s="22">
        <v>17</v>
      </c>
      <c r="H125" s="16">
        <v>0.18</v>
      </c>
      <c r="I125" s="22">
        <f t="shared" si="13"/>
        <v>3.06</v>
      </c>
      <c r="J125" s="22">
        <f t="shared" si="14"/>
        <v>20.059999999999999</v>
      </c>
      <c r="K125" s="22">
        <f t="shared" si="19"/>
        <v>1.7000000000000002</v>
      </c>
      <c r="L125" s="22">
        <f t="shared" si="19"/>
        <v>1.02</v>
      </c>
      <c r="M125" s="22">
        <f t="shared" si="19"/>
        <v>1.02</v>
      </c>
      <c r="N125" s="22">
        <f t="shared" si="18"/>
        <v>1.53</v>
      </c>
      <c r="O125" s="22">
        <f t="shared" si="18"/>
        <v>1.7000000000000002</v>
      </c>
      <c r="P125" s="22">
        <f t="shared" si="18"/>
        <v>2.5499999999999998</v>
      </c>
      <c r="Q125" s="22">
        <f t="shared" si="18"/>
        <v>3.4000000000000004</v>
      </c>
      <c r="R125" s="22">
        <f t="shared" si="18"/>
        <v>3.4000000000000004</v>
      </c>
      <c r="S125" s="22">
        <f t="shared" si="18"/>
        <v>1.53</v>
      </c>
      <c r="T125" s="22">
        <f t="shared" si="18"/>
        <v>1.53</v>
      </c>
      <c r="U125" s="22">
        <f t="shared" si="18"/>
        <v>2.5499999999999998</v>
      </c>
      <c r="V125" s="22">
        <f t="shared" si="17"/>
        <v>3.4000000000000004</v>
      </c>
      <c r="W125" s="22">
        <f t="shared" si="17"/>
        <v>2.5499999999999998</v>
      </c>
      <c r="X125" s="22">
        <f t="shared" si="17"/>
        <v>1.7000000000000002</v>
      </c>
      <c r="Y125" s="22">
        <f t="shared" si="17"/>
        <v>0.85000000000000009</v>
      </c>
      <c r="Z125" s="22">
        <f t="shared" si="17"/>
        <v>1.7000000000000002</v>
      </c>
    </row>
    <row r="126" spans="1:26" x14ac:dyDescent="0.3">
      <c r="A126" s="22">
        <f t="shared" si="10"/>
        <v>69.074999999999989</v>
      </c>
      <c r="B126" s="22">
        <f t="shared" si="11"/>
        <v>13.814999999999998</v>
      </c>
      <c r="C126" s="22">
        <f t="shared" si="12"/>
        <v>55.259999999999991</v>
      </c>
      <c r="D126" s="24" t="s">
        <v>105</v>
      </c>
      <c r="E126" s="24" t="s">
        <v>437</v>
      </c>
      <c r="F126" s="17" t="s">
        <v>131</v>
      </c>
      <c r="G126" s="22">
        <v>18</v>
      </c>
      <c r="H126" s="16">
        <v>0.18</v>
      </c>
      <c r="I126" s="22">
        <f t="shared" si="13"/>
        <v>3.2399999999999998</v>
      </c>
      <c r="J126" s="22">
        <f t="shared" si="14"/>
        <v>21.24</v>
      </c>
      <c r="K126" s="22">
        <f t="shared" si="19"/>
        <v>1.8</v>
      </c>
      <c r="L126" s="22">
        <f t="shared" si="19"/>
        <v>1.08</v>
      </c>
      <c r="M126" s="22">
        <f t="shared" si="19"/>
        <v>1.08</v>
      </c>
      <c r="N126" s="22">
        <f t="shared" si="18"/>
        <v>1.6199999999999999</v>
      </c>
      <c r="O126" s="22">
        <f t="shared" si="18"/>
        <v>1.8</v>
      </c>
      <c r="P126" s="22">
        <f t="shared" si="18"/>
        <v>2.6999999999999997</v>
      </c>
      <c r="Q126" s="22">
        <f t="shared" si="18"/>
        <v>3.6</v>
      </c>
      <c r="R126" s="22">
        <f t="shared" si="18"/>
        <v>3.6</v>
      </c>
      <c r="S126" s="22">
        <f t="shared" si="18"/>
        <v>1.6199999999999999</v>
      </c>
      <c r="T126" s="22">
        <f t="shared" si="18"/>
        <v>1.6199999999999999</v>
      </c>
      <c r="U126" s="22">
        <f t="shared" si="18"/>
        <v>2.6999999999999997</v>
      </c>
      <c r="V126" s="22">
        <f t="shared" si="17"/>
        <v>3.6</v>
      </c>
      <c r="W126" s="22">
        <f t="shared" si="17"/>
        <v>2.6999999999999997</v>
      </c>
      <c r="X126" s="22">
        <f t="shared" si="17"/>
        <v>1.8</v>
      </c>
      <c r="Y126" s="22">
        <f t="shared" si="17"/>
        <v>0.9</v>
      </c>
      <c r="Z126" s="22">
        <f t="shared" si="17"/>
        <v>1.8</v>
      </c>
    </row>
    <row r="127" spans="1:26" x14ac:dyDescent="0.3">
      <c r="A127" s="22">
        <f t="shared" si="10"/>
        <v>95.9375</v>
      </c>
      <c r="B127" s="22">
        <f t="shared" si="11"/>
        <v>19.1875</v>
      </c>
      <c r="C127" s="22">
        <f t="shared" si="12"/>
        <v>76.75</v>
      </c>
      <c r="D127" s="24" t="s">
        <v>105</v>
      </c>
      <c r="E127" s="24" t="s">
        <v>437</v>
      </c>
      <c r="F127" s="17" t="s">
        <v>132</v>
      </c>
      <c r="G127" s="22">
        <v>25</v>
      </c>
      <c r="H127" s="16">
        <v>0.18</v>
      </c>
      <c r="I127" s="22">
        <f t="shared" si="13"/>
        <v>4.5</v>
      </c>
      <c r="J127" s="22">
        <f t="shared" si="14"/>
        <v>29.5</v>
      </c>
      <c r="K127" s="22">
        <f t="shared" si="19"/>
        <v>2.5</v>
      </c>
      <c r="L127" s="22">
        <f t="shared" si="19"/>
        <v>1.5</v>
      </c>
      <c r="M127" s="22">
        <f t="shared" si="19"/>
        <v>1.5</v>
      </c>
      <c r="N127" s="22">
        <f t="shared" si="18"/>
        <v>2.25</v>
      </c>
      <c r="O127" s="22">
        <f t="shared" si="18"/>
        <v>2.5</v>
      </c>
      <c r="P127" s="22">
        <f t="shared" si="18"/>
        <v>3.75</v>
      </c>
      <c r="Q127" s="22">
        <f t="shared" si="18"/>
        <v>5</v>
      </c>
      <c r="R127" s="22">
        <f t="shared" si="18"/>
        <v>5</v>
      </c>
      <c r="S127" s="22">
        <f t="shared" si="18"/>
        <v>2.25</v>
      </c>
      <c r="T127" s="22">
        <f t="shared" si="18"/>
        <v>2.25</v>
      </c>
      <c r="U127" s="22">
        <f t="shared" si="18"/>
        <v>3.75</v>
      </c>
      <c r="V127" s="22">
        <f t="shared" si="17"/>
        <v>5</v>
      </c>
      <c r="W127" s="22">
        <f t="shared" si="17"/>
        <v>3.75</v>
      </c>
      <c r="X127" s="22">
        <f t="shared" si="17"/>
        <v>2.5</v>
      </c>
      <c r="Y127" s="22">
        <f t="shared" si="17"/>
        <v>1.25</v>
      </c>
      <c r="Z127" s="22">
        <f t="shared" si="17"/>
        <v>2.5</v>
      </c>
    </row>
    <row r="128" spans="1:26" x14ac:dyDescent="0.3">
      <c r="A128" s="22">
        <f t="shared" si="10"/>
        <v>19.187499999999996</v>
      </c>
      <c r="B128" s="22">
        <f t="shared" si="11"/>
        <v>3.8374999999999995</v>
      </c>
      <c r="C128" s="22">
        <f t="shared" si="12"/>
        <v>15.349999999999998</v>
      </c>
      <c r="D128" s="24" t="s">
        <v>105</v>
      </c>
      <c r="E128" s="24" t="s">
        <v>437</v>
      </c>
      <c r="F128" s="17" t="s">
        <v>133</v>
      </c>
      <c r="G128" s="22">
        <v>5</v>
      </c>
      <c r="H128" s="16">
        <v>0.18</v>
      </c>
      <c r="I128" s="22">
        <f t="shared" si="13"/>
        <v>0.89999999999999991</v>
      </c>
      <c r="J128" s="22">
        <f t="shared" si="14"/>
        <v>5.9</v>
      </c>
      <c r="K128" s="22">
        <f t="shared" si="19"/>
        <v>0.5</v>
      </c>
      <c r="L128" s="22">
        <f t="shared" si="19"/>
        <v>0.3</v>
      </c>
      <c r="M128" s="22">
        <f t="shared" si="19"/>
        <v>0.3</v>
      </c>
      <c r="N128" s="22">
        <f t="shared" si="18"/>
        <v>0.44999999999999996</v>
      </c>
      <c r="O128" s="22">
        <f t="shared" si="18"/>
        <v>0.5</v>
      </c>
      <c r="P128" s="22">
        <f t="shared" si="18"/>
        <v>0.75</v>
      </c>
      <c r="Q128" s="22">
        <f t="shared" si="18"/>
        <v>1</v>
      </c>
      <c r="R128" s="22">
        <f t="shared" si="18"/>
        <v>1</v>
      </c>
      <c r="S128" s="22">
        <f t="shared" si="18"/>
        <v>0.44999999999999996</v>
      </c>
      <c r="T128" s="22">
        <f t="shared" si="18"/>
        <v>0.44999999999999996</v>
      </c>
      <c r="U128" s="22">
        <f t="shared" si="18"/>
        <v>0.75</v>
      </c>
      <c r="V128" s="22">
        <f t="shared" si="17"/>
        <v>1</v>
      </c>
      <c r="W128" s="22">
        <f t="shared" si="17"/>
        <v>0.75</v>
      </c>
      <c r="X128" s="22">
        <f t="shared" si="17"/>
        <v>0.5</v>
      </c>
      <c r="Y128" s="22">
        <f t="shared" si="17"/>
        <v>0.25</v>
      </c>
      <c r="Z128" s="22">
        <f t="shared" si="17"/>
        <v>0.5</v>
      </c>
    </row>
    <row r="129" spans="1:26" x14ac:dyDescent="0.3">
      <c r="A129" s="22">
        <f t="shared" si="10"/>
        <v>34.537499999999994</v>
      </c>
      <c r="B129" s="22">
        <f t="shared" si="11"/>
        <v>6.9074999999999989</v>
      </c>
      <c r="C129" s="22">
        <f t="shared" si="12"/>
        <v>27.629999999999995</v>
      </c>
      <c r="D129" s="24" t="s">
        <v>105</v>
      </c>
      <c r="E129" s="24" t="s">
        <v>437</v>
      </c>
      <c r="F129" s="17" t="s">
        <v>134</v>
      </c>
      <c r="G129" s="22">
        <v>9</v>
      </c>
      <c r="H129" s="16">
        <v>0.18</v>
      </c>
      <c r="I129" s="22">
        <f t="shared" si="13"/>
        <v>1.6199999999999999</v>
      </c>
      <c r="J129" s="22">
        <f t="shared" si="14"/>
        <v>10.62</v>
      </c>
      <c r="K129" s="22">
        <f t="shared" si="19"/>
        <v>0.9</v>
      </c>
      <c r="L129" s="22">
        <f t="shared" si="19"/>
        <v>0.54</v>
      </c>
      <c r="M129" s="22">
        <f t="shared" si="19"/>
        <v>0.54</v>
      </c>
      <c r="N129" s="22">
        <f t="shared" si="18"/>
        <v>0.80999999999999994</v>
      </c>
      <c r="O129" s="22">
        <f t="shared" si="18"/>
        <v>0.9</v>
      </c>
      <c r="P129" s="22">
        <f t="shared" si="18"/>
        <v>1.3499999999999999</v>
      </c>
      <c r="Q129" s="22">
        <f t="shared" si="18"/>
        <v>1.8</v>
      </c>
      <c r="R129" s="22">
        <f t="shared" si="18"/>
        <v>1.8</v>
      </c>
      <c r="S129" s="22">
        <f t="shared" si="18"/>
        <v>0.80999999999999994</v>
      </c>
      <c r="T129" s="22">
        <f t="shared" si="18"/>
        <v>0.80999999999999994</v>
      </c>
      <c r="U129" s="22">
        <f t="shared" si="18"/>
        <v>1.3499999999999999</v>
      </c>
      <c r="V129" s="22">
        <f t="shared" si="17"/>
        <v>1.8</v>
      </c>
      <c r="W129" s="22">
        <f t="shared" si="17"/>
        <v>1.3499999999999999</v>
      </c>
      <c r="X129" s="22">
        <f t="shared" si="17"/>
        <v>0.9</v>
      </c>
      <c r="Y129" s="22">
        <f t="shared" si="17"/>
        <v>0.45</v>
      </c>
      <c r="Z129" s="22">
        <f t="shared" si="17"/>
        <v>0.9</v>
      </c>
    </row>
    <row r="130" spans="1:26" x14ac:dyDescent="0.3">
      <c r="A130" s="22">
        <f t="shared" si="10"/>
        <v>57.5625</v>
      </c>
      <c r="B130" s="22">
        <f t="shared" si="11"/>
        <v>11.512499999999999</v>
      </c>
      <c r="C130" s="22">
        <f t="shared" si="12"/>
        <v>46.05</v>
      </c>
      <c r="D130" s="24" t="s">
        <v>105</v>
      </c>
      <c r="E130" s="24" t="s">
        <v>437</v>
      </c>
      <c r="F130" s="17" t="s">
        <v>135</v>
      </c>
      <c r="G130" s="22">
        <v>15</v>
      </c>
      <c r="H130" s="16">
        <v>0.18</v>
      </c>
      <c r="I130" s="22">
        <f t="shared" si="13"/>
        <v>2.6999999999999997</v>
      </c>
      <c r="J130" s="22">
        <f t="shared" si="14"/>
        <v>17.7</v>
      </c>
      <c r="K130" s="22">
        <f t="shared" si="19"/>
        <v>1.5</v>
      </c>
      <c r="L130" s="22">
        <f t="shared" si="19"/>
        <v>0.89999999999999991</v>
      </c>
      <c r="M130" s="22">
        <f t="shared" si="19"/>
        <v>0.89999999999999991</v>
      </c>
      <c r="N130" s="22">
        <f t="shared" si="18"/>
        <v>1.3499999999999999</v>
      </c>
      <c r="O130" s="22">
        <f t="shared" si="18"/>
        <v>1.5</v>
      </c>
      <c r="P130" s="22">
        <f t="shared" si="18"/>
        <v>2.25</v>
      </c>
      <c r="Q130" s="22">
        <f t="shared" si="18"/>
        <v>3</v>
      </c>
      <c r="R130" s="22">
        <f t="shared" si="18"/>
        <v>3</v>
      </c>
      <c r="S130" s="22">
        <f t="shared" si="18"/>
        <v>1.3499999999999999</v>
      </c>
      <c r="T130" s="22">
        <f t="shared" si="18"/>
        <v>1.3499999999999999</v>
      </c>
      <c r="U130" s="22">
        <f t="shared" si="18"/>
        <v>2.25</v>
      </c>
      <c r="V130" s="22">
        <f t="shared" si="17"/>
        <v>3</v>
      </c>
      <c r="W130" s="22">
        <f t="shared" si="17"/>
        <v>2.25</v>
      </c>
      <c r="X130" s="22">
        <f t="shared" si="17"/>
        <v>1.5</v>
      </c>
      <c r="Y130" s="22">
        <f t="shared" si="17"/>
        <v>0.75</v>
      </c>
      <c r="Z130" s="22">
        <f t="shared" si="17"/>
        <v>1.5</v>
      </c>
    </row>
    <row r="131" spans="1:26" x14ac:dyDescent="0.3">
      <c r="A131" s="22">
        <f t="shared" si="10"/>
        <v>76.749999999999986</v>
      </c>
      <c r="B131" s="22">
        <f t="shared" si="11"/>
        <v>15.349999999999998</v>
      </c>
      <c r="C131" s="22">
        <f t="shared" si="12"/>
        <v>61.399999999999991</v>
      </c>
      <c r="D131" s="24" t="s">
        <v>105</v>
      </c>
      <c r="E131" s="24" t="s">
        <v>437</v>
      </c>
      <c r="F131" s="17" t="s">
        <v>136</v>
      </c>
      <c r="G131" s="22">
        <v>20</v>
      </c>
      <c r="H131" s="16">
        <v>0.18</v>
      </c>
      <c r="I131" s="22">
        <f t="shared" si="13"/>
        <v>3.5999999999999996</v>
      </c>
      <c r="J131" s="22">
        <f t="shared" si="14"/>
        <v>23.6</v>
      </c>
      <c r="K131" s="22">
        <f t="shared" si="19"/>
        <v>2</v>
      </c>
      <c r="L131" s="22">
        <f t="shared" si="19"/>
        <v>1.2</v>
      </c>
      <c r="M131" s="22">
        <f t="shared" si="19"/>
        <v>1.2</v>
      </c>
      <c r="N131" s="22">
        <f t="shared" si="18"/>
        <v>1.7999999999999998</v>
      </c>
      <c r="O131" s="22">
        <f t="shared" si="18"/>
        <v>2</v>
      </c>
      <c r="P131" s="22">
        <f t="shared" si="18"/>
        <v>3</v>
      </c>
      <c r="Q131" s="22">
        <f t="shared" si="18"/>
        <v>4</v>
      </c>
      <c r="R131" s="22">
        <f t="shared" si="18"/>
        <v>4</v>
      </c>
      <c r="S131" s="22">
        <f t="shared" si="18"/>
        <v>1.7999999999999998</v>
      </c>
      <c r="T131" s="22">
        <f t="shared" si="18"/>
        <v>1.7999999999999998</v>
      </c>
      <c r="U131" s="22">
        <f t="shared" si="18"/>
        <v>3</v>
      </c>
      <c r="V131" s="22">
        <f t="shared" si="17"/>
        <v>4</v>
      </c>
      <c r="W131" s="22">
        <f t="shared" si="17"/>
        <v>3</v>
      </c>
      <c r="X131" s="22">
        <f t="shared" si="17"/>
        <v>2</v>
      </c>
      <c r="Y131" s="22">
        <f t="shared" si="17"/>
        <v>1</v>
      </c>
      <c r="Z131" s="22">
        <f t="shared" si="17"/>
        <v>2</v>
      </c>
    </row>
    <row r="132" spans="1:26" x14ac:dyDescent="0.3">
      <c r="A132" s="22">
        <f t="shared" ref="A132:A195" si="20">B132+C132</f>
        <v>23.024999999999999</v>
      </c>
      <c r="B132" s="22">
        <f t="shared" ref="B132:B195" si="21">C132*$B$1</f>
        <v>4.6049999999999995</v>
      </c>
      <c r="C132" s="22">
        <f t="shared" ref="C132:C195" si="22">SUM(J132:Z132)</f>
        <v>18.419999999999998</v>
      </c>
      <c r="D132" s="24" t="s">
        <v>105</v>
      </c>
      <c r="E132" s="24" t="s">
        <v>437</v>
      </c>
      <c r="F132" s="17" t="s">
        <v>137</v>
      </c>
      <c r="G132" s="22">
        <v>6</v>
      </c>
      <c r="H132" s="16">
        <v>0.18</v>
      </c>
      <c r="I132" s="22">
        <f t="shared" ref="I132:I195" si="23">G132*H132</f>
        <v>1.08</v>
      </c>
      <c r="J132" s="22">
        <f t="shared" ref="J132:J195" si="24">G132+I132</f>
        <v>7.08</v>
      </c>
      <c r="K132" s="22">
        <f t="shared" si="19"/>
        <v>0.60000000000000009</v>
      </c>
      <c r="L132" s="22">
        <f t="shared" si="19"/>
        <v>0.36</v>
      </c>
      <c r="M132" s="22">
        <f t="shared" si="19"/>
        <v>0.36</v>
      </c>
      <c r="N132" s="22">
        <f t="shared" si="18"/>
        <v>0.54</v>
      </c>
      <c r="O132" s="22">
        <f t="shared" si="18"/>
        <v>0.60000000000000009</v>
      </c>
      <c r="P132" s="22">
        <f t="shared" si="18"/>
        <v>0.89999999999999991</v>
      </c>
      <c r="Q132" s="22">
        <f t="shared" si="18"/>
        <v>1.2000000000000002</v>
      </c>
      <c r="R132" s="22">
        <f t="shared" si="18"/>
        <v>1.2000000000000002</v>
      </c>
      <c r="S132" s="22">
        <f t="shared" si="18"/>
        <v>0.54</v>
      </c>
      <c r="T132" s="22">
        <f t="shared" si="18"/>
        <v>0.54</v>
      </c>
      <c r="U132" s="22">
        <f t="shared" si="18"/>
        <v>0.89999999999999991</v>
      </c>
      <c r="V132" s="22">
        <f t="shared" si="17"/>
        <v>1.2000000000000002</v>
      </c>
      <c r="W132" s="22">
        <f t="shared" si="17"/>
        <v>0.89999999999999991</v>
      </c>
      <c r="X132" s="22">
        <f t="shared" si="17"/>
        <v>0.60000000000000009</v>
      </c>
      <c r="Y132" s="22">
        <f t="shared" si="17"/>
        <v>0.30000000000000004</v>
      </c>
      <c r="Z132" s="22">
        <f t="shared" si="17"/>
        <v>0.60000000000000009</v>
      </c>
    </row>
    <row r="133" spans="1:26" x14ac:dyDescent="0.3">
      <c r="A133" s="22">
        <f t="shared" si="20"/>
        <v>46.05</v>
      </c>
      <c r="B133" s="22">
        <f t="shared" si="21"/>
        <v>9.2099999999999991</v>
      </c>
      <c r="C133" s="22">
        <f t="shared" si="22"/>
        <v>36.839999999999996</v>
      </c>
      <c r="D133" s="24" t="s">
        <v>105</v>
      </c>
      <c r="E133" s="24" t="s">
        <v>437</v>
      </c>
      <c r="F133" s="17" t="s">
        <v>138</v>
      </c>
      <c r="G133" s="22">
        <v>12</v>
      </c>
      <c r="H133" s="16">
        <v>0.18</v>
      </c>
      <c r="I133" s="22">
        <f t="shared" si="23"/>
        <v>2.16</v>
      </c>
      <c r="J133" s="22">
        <f t="shared" si="24"/>
        <v>14.16</v>
      </c>
      <c r="K133" s="22">
        <f t="shared" si="19"/>
        <v>1.2000000000000002</v>
      </c>
      <c r="L133" s="22">
        <f t="shared" si="19"/>
        <v>0.72</v>
      </c>
      <c r="M133" s="22">
        <f t="shared" si="19"/>
        <v>0.72</v>
      </c>
      <c r="N133" s="22">
        <f t="shared" si="19"/>
        <v>1.08</v>
      </c>
      <c r="O133" s="22">
        <f t="shared" si="19"/>
        <v>1.2000000000000002</v>
      </c>
      <c r="P133" s="22">
        <f t="shared" si="19"/>
        <v>1.7999999999999998</v>
      </c>
      <c r="Q133" s="22">
        <f t="shared" si="18"/>
        <v>2.4000000000000004</v>
      </c>
      <c r="R133" s="22">
        <f t="shared" si="18"/>
        <v>2.4000000000000004</v>
      </c>
      <c r="S133" s="22">
        <f t="shared" si="18"/>
        <v>1.08</v>
      </c>
      <c r="T133" s="22">
        <f t="shared" si="18"/>
        <v>1.08</v>
      </c>
      <c r="U133" s="22">
        <f t="shared" si="18"/>
        <v>1.7999999999999998</v>
      </c>
      <c r="V133" s="22">
        <f t="shared" si="18"/>
        <v>2.4000000000000004</v>
      </c>
      <c r="W133" s="22">
        <f t="shared" si="18"/>
        <v>1.7999999999999998</v>
      </c>
      <c r="X133" s="22">
        <f t="shared" si="18"/>
        <v>1.2000000000000002</v>
      </c>
      <c r="Y133" s="22">
        <f t="shared" si="17"/>
        <v>0.60000000000000009</v>
      </c>
      <c r="Z133" s="22">
        <f t="shared" si="17"/>
        <v>1.2000000000000002</v>
      </c>
    </row>
    <row r="134" spans="1:26" x14ac:dyDescent="0.3">
      <c r="A134" s="22">
        <f t="shared" si="20"/>
        <v>13.431250000000002</v>
      </c>
      <c r="B134" s="22">
        <f t="shared" si="21"/>
        <v>2.6862500000000002</v>
      </c>
      <c r="C134" s="22">
        <f t="shared" si="22"/>
        <v>10.745000000000001</v>
      </c>
      <c r="D134" s="24" t="s">
        <v>105</v>
      </c>
      <c r="E134" s="24" t="s">
        <v>437</v>
      </c>
      <c r="F134" s="17" t="s">
        <v>139</v>
      </c>
      <c r="G134" s="22">
        <v>3.5</v>
      </c>
      <c r="H134" s="16">
        <v>0.18</v>
      </c>
      <c r="I134" s="22">
        <f t="shared" si="23"/>
        <v>0.63</v>
      </c>
      <c r="J134" s="22">
        <f t="shared" si="24"/>
        <v>4.13</v>
      </c>
      <c r="K134" s="22">
        <f t="shared" si="19"/>
        <v>0.35000000000000003</v>
      </c>
      <c r="L134" s="22">
        <f t="shared" si="19"/>
        <v>0.21</v>
      </c>
      <c r="M134" s="22">
        <f t="shared" si="19"/>
        <v>0.21</v>
      </c>
      <c r="N134" s="22">
        <f t="shared" si="19"/>
        <v>0.315</v>
      </c>
      <c r="O134" s="22">
        <f t="shared" si="19"/>
        <v>0.35000000000000003</v>
      </c>
      <c r="P134" s="22">
        <f t="shared" si="19"/>
        <v>0.52500000000000002</v>
      </c>
      <c r="Q134" s="22">
        <f t="shared" si="18"/>
        <v>0.70000000000000007</v>
      </c>
      <c r="R134" s="22">
        <f t="shared" si="18"/>
        <v>0.70000000000000007</v>
      </c>
      <c r="S134" s="22">
        <f t="shared" si="18"/>
        <v>0.315</v>
      </c>
      <c r="T134" s="22">
        <f t="shared" si="18"/>
        <v>0.315</v>
      </c>
      <c r="U134" s="22">
        <f t="shared" si="18"/>
        <v>0.52500000000000002</v>
      </c>
      <c r="V134" s="22">
        <f t="shared" si="18"/>
        <v>0.70000000000000007</v>
      </c>
      <c r="W134" s="22">
        <f t="shared" si="18"/>
        <v>0.52500000000000002</v>
      </c>
      <c r="X134" s="22">
        <f t="shared" si="18"/>
        <v>0.35000000000000003</v>
      </c>
      <c r="Y134" s="22">
        <f t="shared" si="17"/>
        <v>0.17500000000000002</v>
      </c>
      <c r="Z134" s="22">
        <f t="shared" si="17"/>
        <v>0.35000000000000003</v>
      </c>
    </row>
    <row r="135" spans="1:26" x14ac:dyDescent="0.3">
      <c r="A135" s="22">
        <f t="shared" si="20"/>
        <v>134.31250000000003</v>
      </c>
      <c r="B135" s="22">
        <f t="shared" si="21"/>
        <v>26.862500000000004</v>
      </c>
      <c r="C135" s="22">
        <f t="shared" si="22"/>
        <v>107.45000000000002</v>
      </c>
      <c r="D135" s="24" t="s">
        <v>105</v>
      </c>
      <c r="E135" s="24" t="s">
        <v>437</v>
      </c>
      <c r="F135" s="17" t="s">
        <v>140</v>
      </c>
      <c r="G135" s="22">
        <v>35</v>
      </c>
      <c r="H135" s="16">
        <v>0.18</v>
      </c>
      <c r="I135" s="22">
        <f t="shared" si="23"/>
        <v>6.3</v>
      </c>
      <c r="J135" s="22">
        <f t="shared" si="24"/>
        <v>41.3</v>
      </c>
      <c r="K135" s="22">
        <f t="shared" si="19"/>
        <v>3.5</v>
      </c>
      <c r="L135" s="22">
        <f t="shared" si="19"/>
        <v>2.1</v>
      </c>
      <c r="M135" s="22">
        <f t="shared" si="19"/>
        <v>2.1</v>
      </c>
      <c r="N135" s="22">
        <f t="shared" si="19"/>
        <v>3.15</v>
      </c>
      <c r="O135" s="22">
        <f t="shared" si="19"/>
        <v>3.5</v>
      </c>
      <c r="P135" s="22">
        <f t="shared" si="19"/>
        <v>5.25</v>
      </c>
      <c r="Q135" s="22">
        <f t="shared" si="18"/>
        <v>7</v>
      </c>
      <c r="R135" s="22">
        <f t="shared" si="18"/>
        <v>7</v>
      </c>
      <c r="S135" s="22">
        <f t="shared" si="18"/>
        <v>3.15</v>
      </c>
      <c r="T135" s="22">
        <f t="shared" si="18"/>
        <v>3.15</v>
      </c>
      <c r="U135" s="22">
        <f t="shared" si="18"/>
        <v>5.25</v>
      </c>
      <c r="V135" s="22">
        <f t="shared" si="18"/>
        <v>7</v>
      </c>
      <c r="W135" s="22">
        <f t="shared" si="18"/>
        <v>5.25</v>
      </c>
      <c r="X135" s="22">
        <f t="shared" si="18"/>
        <v>3.5</v>
      </c>
      <c r="Y135" s="22">
        <f t="shared" si="17"/>
        <v>1.75</v>
      </c>
      <c r="Z135" s="22">
        <f t="shared" si="17"/>
        <v>3.5</v>
      </c>
    </row>
    <row r="136" spans="1:26" x14ac:dyDescent="0.3">
      <c r="A136" s="22">
        <f t="shared" si="20"/>
        <v>115.125</v>
      </c>
      <c r="B136" s="22">
        <f t="shared" si="21"/>
        <v>23.024999999999999</v>
      </c>
      <c r="C136" s="22">
        <f t="shared" si="22"/>
        <v>92.1</v>
      </c>
      <c r="D136" s="24" t="s">
        <v>105</v>
      </c>
      <c r="E136" s="24" t="s">
        <v>437</v>
      </c>
      <c r="F136" s="17" t="s">
        <v>141</v>
      </c>
      <c r="G136" s="22">
        <v>30</v>
      </c>
      <c r="H136" s="16">
        <v>0.18</v>
      </c>
      <c r="I136" s="22">
        <f t="shared" si="23"/>
        <v>5.3999999999999995</v>
      </c>
      <c r="J136" s="22">
        <f t="shared" si="24"/>
        <v>35.4</v>
      </c>
      <c r="K136" s="22">
        <f t="shared" si="19"/>
        <v>3</v>
      </c>
      <c r="L136" s="22">
        <f t="shared" si="19"/>
        <v>1.7999999999999998</v>
      </c>
      <c r="M136" s="22">
        <f t="shared" si="19"/>
        <v>1.7999999999999998</v>
      </c>
      <c r="N136" s="22">
        <f t="shared" si="19"/>
        <v>2.6999999999999997</v>
      </c>
      <c r="O136" s="22">
        <f t="shared" si="19"/>
        <v>3</v>
      </c>
      <c r="P136" s="22">
        <f t="shared" si="19"/>
        <v>4.5</v>
      </c>
      <c r="Q136" s="22">
        <f t="shared" si="18"/>
        <v>6</v>
      </c>
      <c r="R136" s="22">
        <f t="shared" si="18"/>
        <v>6</v>
      </c>
      <c r="S136" s="22">
        <f t="shared" si="18"/>
        <v>2.6999999999999997</v>
      </c>
      <c r="T136" s="22">
        <f t="shared" si="18"/>
        <v>2.6999999999999997</v>
      </c>
      <c r="U136" s="22">
        <f t="shared" si="18"/>
        <v>4.5</v>
      </c>
      <c r="V136" s="22">
        <f t="shared" si="18"/>
        <v>6</v>
      </c>
      <c r="W136" s="22">
        <f t="shared" si="18"/>
        <v>4.5</v>
      </c>
      <c r="X136" s="22">
        <f t="shared" si="18"/>
        <v>3</v>
      </c>
      <c r="Y136" s="22">
        <f t="shared" si="17"/>
        <v>1.5</v>
      </c>
      <c r="Z136" s="22">
        <f t="shared" si="17"/>
        <v>3</v>
      </c>
    </row>
    <row r="137" spans="1:26" x14ac:dyDescent="0.3">
      <c r="A137" s="22">
        <f t="shared" si="20"/>
        <v>222.57499999999999</v>
      </c>
      <c r="B137" s="22">
        <f t="shared" si="21"/>
        <v>44.515000000000001</v>
      </c>
      <c r="C137" s="22">
        <f t="shared" si="22"/>
        <v>178.06</v>
      </c>
      <c r="D137" s="24" t="s">
        <v>105</v>
      </c>
      <c r="E137" s="24" t="s">
        <v>437</v>
      </c>
      <c r="F137" s="17" t="s">
        <v>142</v>
      </c>
      <c r="G137" s="22">
        <v>58</v>
      </c>
      <c r="H137" s="16">
        <v>0.18</v>
      </c>
      <c r="I137" s="22">
        <f t="shared" si="23"/>
        <v>10.44</v>
      </c>
      <c r="J137" s="22">
        <f t="shared" si="24"/>
        <v>68.44</v>
      </c>
      <c r="K137" s="22">
        <f t="shared" si="19"/>
        <v>5.8000000000000007</v>
      </c>
      <c r="L137" s="22">
        <f t="shared" si="19"/>
        <v>3.48</v>
      </c>
      <c r="M137" s="22">
        <f t="shared" si="19"/>
        <v>3.48</v>
      </c>
      <c r="N137" s="22">
        <f t="shared" si="19"/>
        <v>5.22</v>
      </c>
      <c r="O137" s="22">
        <f t="shared" si="19"/>
        <v>5.8000000000000007</v>
      </c>
      <c r="P137" s="22">
        <f t="shared" si="19"/>
        <v>8.6999999999999993</v>
      </c>
      <c r="Q137" s="22">
        <f t="shared" si="18"/>
        <v>11.600000000000001</v>
      </c>
      <c r="R137" s="22">
        <f t="shared" si="18"/>
        <v>11.600000000000001</v>
      </c>
      <c r="S137" s="22">
        <f t="shared" si="18"/>
        <v>5.22</v>
      </c>
      <c r="T137" s="22">
        <f t="shared" si="18"/>
        <v>5.22</v>
      </c>
      <c r="U137" s="22">
        <f t="shared" si="18"/>
        <v>8.6999999999999993</v>
      </c>
      <c r="V137" s="22">
        <f t="shared" si="18"/>
        <v>11.600000000000001</v>
      </c>
      <c r="W137" s="22">
        <f t="shared" si="18"/>
        <v>8.6999999999999993</v>
      </c>
      <c r="X137" s="22">
        <f t="shared" si="18"/>
        <v>5.8000000000000007</v>
      </c>
      <c r="Y137" s="22">
        <f t="shared" si="17"/>
        <v>2.9000000000000004</v>
      </c>
      <c r="Z137" s="22">
        <f t="shared" si="17"/>
        <v>5.8000000000000007</v>
      </c>
    </row>
    <row r="138" spans="1:26" x14ac:dyDescent="0.3">
      <c r="A138" s="22">
        <f t="shared" si="20"/>
        <v>306.99999999999994</v>
      </c>
      <c r="B138" s="22">
        <f t="shared" si="21"/>
        <v>61.399999999999991</v>
      </c>
      <c r="C138" s="22">
        <f t="shared" si="22"/>
        <v>245.59999999999997</v>
      </c>
      <c r="D138" s="24" t="s">
        <v>105</v>
      </c>
      <c r="E138" s="24" t="s">
        <v>437</v>
      </c>
      <c r="F138" s="17" t="s">
        <v>143</v>
      </c>
      <c r="G138" s="22">
        <v>80</v>
      </c>
      <c r="H138" s="16">
        <v>0.18</v>
      </c>
      <c r="I138" s="22">
        <f t="shared" si="23"/>
        <v>14.399999999999999</v>
      </c>
      <c r="J138" s="22">
        <f t="shared" si="24"/>
        <v>94.4</v>
      </c>
      <c r="K138" s="22">
        <f t="shared" si="19"/>
        <v>8</v>
      </c>
      <c r="L138" s="22">
        <f t="shared" si="19"/>
        <v>4.8</v>
      </c>
      <c r="M138" s="22">
        <f t="shared" si="19"/>
        <v>4.8</v>
      </c>
      <c r="N138" s="22">
        <f t="shared" si="19"/>
        <v>7.1999999999999993</v>
      </c>
      <c r="O138" s="22">
        <f t="shared" si="19"/>
        <v>8</v>
      </c>
      <c r="P138" s="22">
        <f t="shared" si="19"/>
        <v>12</v>
      </c>
      <c r="Q138" s="22">
        <f t="shared" si="18"/>
        <v>16</v>
      </c>
      <c r="R138" s="22">
        <f t="shared" si="18"/>
        <v>16</v>
      </c>
      <c r="S138" s="22">
        <f t="shared" si="18"/>
        <v>7.1999999999999993</v>
      </c>
      <c r="T138" s="22">
        <f t="shared" si="18"/>
        <v>7.1999999999999993</v>
      </c>
      <c r="U138" s="22">
        <f t="shared" si="18"/>
        <v>12</v>
      </c>
      <c r="V138" s="22">
        <f t="shared" si="18"/>
        <v>16</v>
      </c>
      <c r="W138" s="22">
        <f t="shared" si="18"/>
        <v>12</v>
      </c>
      <c r="X138" s="22">
        <f t="shared" si="18"/>
        <v>8</v>
      </c>
      <c r="Y138" s="22">
        <f t="shared" si="17"/>
        <v>4</v>
      </c>
      <c r="Z138" s="22">
        <f t="shared" si="17"/>
        <v>8</v>
      </c>
    </row>
    <row r="139" spans="1:26" x14ac:dyDescent="0.3">
      <c r="A139" s="22">
        <f t="shared" si="20"/>
        <v>552.59999999999991</v>
      </c>
      <c r="B139" s="22">
        <f t="shared" si="21"/>
        <v>110.51999999999998</v>
      </c>
      <c r="C139" s="22">
        <f t="shared" si="22"/>
        <v>442.07999999999993</v>
      </c>
      <c r="D139" s="24" t="s">
        <v>105</v>
      </c>
      <c r="E139" s="24" t="s">
        <v>437</v>
      </c>
      <c r="F139" s="17" t="s">
        <v>144</v>
      </c>
      <c r="G139" s="22">
        <v>144</v>
      </c>
      <c r="H139" s="16">
        <v>0.18</v>
      </c>
      <c r="I139" s="22">
        <f t="shared" si="23"/>
        <v>25.919999999999998</v>
      </c>
      <c r="J139" s="22">
        <f t="shared" si="24"/>
        <v>169.92</v>
      </c>
      <c r="K139" s="22">
        <f t="shared" si="19"/>
        <v>14.4</v>
      </c>
      <c r="L139" s="22">
        <f t="shared" si="19"/>
        <v>8.64</v>
      </c>
      <c r="M139" s="22">
        <f t="shared" si="19"/>
        <v>8.64</v>
      </c>
      <c r="N139" s="22">
        <f t="shared" si="19"/>
        <v>12.959999999999999</v>
      </c>
      <c r="O139" s="22">
        <f t="shared" si="19"/>
        <v>14.4</v>
      </c>
      <c r="P139" s="22">
        <f t="shared" si="19"/>
        <v>21.599999999999998</v>
      </c>
      <c r="Q139" s="22">
        <f t="shared" si="18"/>
        <v>28.8</v>
      </c>
      <c r="R139" s="22">
        <f t="shared" si="18"/>
        <v>28.8</v>
      </c>
      <c r="S139" s="22">
        <f t="shared" si="18"/>
        <v>12.959999999999999</v>
      </c>
      <c r="T139" s="22">
        <f t="shared" si="18"/>
        <v>12.959999999999999</v>
      </c>
      <c r="U139" s="22">
        <f t="shared" si="18"/>
        <v>21.599999999999998</v>
      </c>
      <c r="V139" s="22">
        <f t="shared" si="18"/>
        <v>28.8</v>
      </c>
      <c r="W139" s="22">
        <f t="shared" si="18"/>
        <v>21.599999999999998</v>
      </c>
      <c r="X139" s="22">
        <f t="shared" si="18"/>
        <v>14.4</v>
      </c>
      <c r="Y139" s="22">
        <f t="shared" si="17"/>
        <v>7.2</v>
      </c>
      <c r="Z139" s="22">
        <f t="shared" si="17"/>
        <v>14.4</v>
      </c>
    </row>
    <row r="140" spans="1:26" x14ac:dyDescent="0.3">
      <c r="A140" s="22">
        <f t="shared" si="20"/>
        <v>134.31250000000003</v>
      </c>
      <c r="B140" s="22">
        <f t="shared" si="21"/>
        <v>26.862500000000004</v>
      </c>
      <c r="C140" s="22">
        <f t="shared" si="22"/>
        <v>107.45000000000002</v>
      </c>
      <c r="D140" s="24" t="s">
        <v>105</v>
      </c>
      <c r="E140" s="24" t="s">
        <v>437</v>
      </c>
      <c r="F140" s="17" t="s">
        <v>145</v>
      </c>
      <c r="G140" s="22">
        <v>35</v>
      </c>
      <c r="H140" s="16">
        <v>0.18</v>
      </c>
      <c r="I140" s="22">
        <f t="shared" si="23"/>
        <v>6.3</v>
      </c>
      <c r="J140" s="22">
        <f t="shared" si="24"/>
        <v>41.3</v>
      </c>
      <c r="K140" s="22">
        <f t="shared" si="19"/>
        <v>3.5</v>
      </c>
      <c r="L140" s="22">
        <f t="shared" si="19"/>
        <v>2.1</v>
      </c>
      <c r="M140" s="22">
        <f t="shared" si="19"/>
        <v>2.1</v>
      </c>
      <c r="N140" s="22">
        <f t="shared" si="19"/>
        <v>3.15</v>
      </c>
      <c r="O140" s="22">
        <f t="shared" si="19"/>
        <v>3.5</v>
      </c>
      <c r="P140" s="22">
        <f t="shared" si="19"/>
        <v>5.25</v>
      </c>
      <c r="Q140" s="22">
        <f t="shared" si="18"/>
        <v>7</v>
      </c>
      <c r="R140" s="22">
        <f t="shared" si="18"/>
        <v>7</v>
      </c>
      <c r="S140" s="22">
        <f t="shared" si="18"/>
        <v>3.15</v>
      </c>
      <c r="T140" s="22">
        <f t="shared" si="18"/>
        <v>3.15</v>
      </c>
      <c r="U140" s="22">
        <f t="shared" si="18"/>
        <v>5.25</v>
      </c>
      <c r="V140" s="22">
        <f t="shared" si="18"/>
        <v>7</v>
      </c>
      <c r="W140" s="22">
        <f t="shared" si="18"/>
        <v>5.25</v>
      </c>
      <c r="X140" s="22">
        <f t="shared" si="18"/>
        <v>3.5</v>
      </c>
      <c r="Y140" s="22">
        <f t="shared" si="17"/>
        <v>1.75</v>
      </c>
      <c r="Z140" s="22">
        <f t="shared" si="17"/>
        <v>3.5</v>
      </c>
    </row>
    <row r="141" spans="1:26" x14ac:dyDescent="0.3">
      <c r="A141" s="22">
        <f t="shared" si="20"/>
        <v>172.6875</v>
      </c>
      <c r="B141" s="22">
        <f t="shared" si="21"/>
        <v>34.537500000000001</v>
      </c>
      <c r="C141" s="22">
        <f t="shared" si="22"/>
        <v>138.15</v>
      </c>
      <c r="D141" s="24" t="s">
        <v>105</v>
      </c>
      <c r="E141" s="24" t="s">
        <v>437</v>
      </c>
      <c r="F141" s="17" t="s">
        <v>146</v>
      </c>
      <c r="G141" s="22">
        <v>45</v>
      </c>
      <c r="H141" s="16">
        <v>0.18</v>
      </c>
      <c r="I141" s="22">
        <f t="shared" si="23"/>
        <v>8.1</v>
      </c>
      <c r="J141" s="22">
        <f t="shared" si="24"/>
        <v>53.1</v>
      </c>
      <c r="K141" s="22">
        <f t="shared" si="19"/>
        <v>4.5</v>
      </c>
      <c r="L141" s="22">
        <f t="shared" si="19"/>
        <v>2.6999999999999997</v>
      </c>
      <c r="M141" s="22">
        <f t="shared" si="19"/>
        <v>2.6999999999999997</v>
      </c>
      <c r="N141" s="22">
        <f t="shared" si="19"/>
        <v>4.05</v>
      </c>
      <c r="O141" s="22">
        <f t="shared" si="19"/>
        <v>4.5</v>
      </c>
      <c r="P141" s="22">
        <f t="shared" si="19"/>
        <v>6.75</v>
      </c>
      <c r="Q141" s="22">
        <f t="shared" si="18"/>
        <v>9</v>
      </c>
      <c r="R141" s="22">
        <f t="shared" si="18"/>
        <v>9</v>
      </c>
      <c r="S141" s="22">
        <f t="shared" si="18"/>
        <v>4.05</v>
      </c>
      <c r="T141" s="22">
        <f t="shared" si="18"/>
        <v>4.05</v>
      </c>
      <c r="U141" s="22">
        <f t="shared" si="18"/>
        <v>6.75</v>
      </c>
      <c r="V141" s="22">
        <f t="shared" si="18"/>
        <v>9</v>
      </c>
      <c r="W141" s="22">
        <f t="shared" si="18"/>
        <v>6.75</v>
      </c>
      <c r="X141" s="22">
        <f t="shared" si="18"/>
        <v>4.5</v>
      </c>
      <c r="Y141" s="22">
        <f t="shared" si="17"/>
        <v>2.25</v>
      </c>
      <c r="Z141" s="22">
        <f t="shared" si="17"/>
        <v>4.5</v>
      </c>
    </row>
    <row r="142" spans="1:26" x14ac:dyDescent="0.3">
      <c r="A142" s="22">
        <f t="shared" si="20"/>
        <v>376.07499999999993</v>
      </c>
      <c r="B142" s="22">
        <f t="shared" si="21"/>
        <v>75.214999999999989</v>
      </c>
      <c r="C142" s="22">
        <f t="shared" si="22"/>
        <v>300.85999999999996</v>
      </c>
      <c r="D142" s="24" t="s">
        <v>105</v>
      </c>
      <c r="E142" s="24" t="s">
        <v>437</v>
      </c>
      <c r="F142" s="17" t="s">
        <v>147</v>
      </c>
      <c r="G142" s="22">
        <v>98</v>
      </c>
      <c r="H142" s="16">
        <v>0.18</v>
      </c>
      <c r="I142" s="22">
        <f t="shared" si="23"/>
        <v>17.64</v>
      </c>
      <c r="J142" s="22">
        <f t="shared" si="24"/>
        <v>115.64</v>
      </c>
      <c r="K142" s="22">
        <f t="shared" si="19"/>
        <v>9.8000000000000007</v>
      </c>
      <c r="L142" s="22">
        <f t="shared" si="19"/>
        <v>5.88</v>
      </c>
      <c r="M142" s="22">
        <f t="shared" si="19"/>
        <v>5.88</v>
      </c>
      <c r="N142" s="22">
        <f t="shared" si="19"/>
        <v>8.82</v>
      </c>
      <c r="O142" s="22">
        <f t="shared" si="19"/>
        <v>9.8000000000000007</v>
      </c>
      <c r="P142" s="22">
        <f t="shared" si="19"/>
        <v>14.7</v>
      </c>
      <c r="Q142" s="22">
        <f t="shared" si="18"/>
        <v>19.600000000000001</v>
      </c>
      <c r="R142" s="22">
        <f t="shared" si="18"/>
        <v>19.600000000000001</v>
      </c>
      <c r="S142" s="22">
        <f t="shared" si="18"/>
        <v>8.82</v>
      </c>
      <c r="T142" s="22">
        <f t="shared" si="18"/>
        <v>8.82</v>
      </c>
      <c r="U142" s="22">
        <f t="shared" si="18"/>
        <v>14.7</v>
      </c>
      <c r="V142" s="22">
        <f t="shared" si="18"/>
        <v>19.600000000000001</v>
      </c>
      <c r="W142" s="22">
        <f t="shared" si="18"/>
        <v>14.7</v>
      </c>
      <c r="X142" s="22">
        <f t="shared" si="18"/>
        <v>9.8000000000000007</v>
      </c>
      <c r="Y142" s="22">
        <f t="shared" si="17"/>
        <v>4.9000000000000004</v>
      </c>
      <c r="Z142" s="22">
        <f t="shared" si="17"/>
        <v>9.8000000000000007</v>
      </c>
    </row>
    <row r="143" spans="1:26" x14ac:dyDescent="0.3">
      <c r="A143" s="22">
        <f t="shared" si="20"/>
        <v>306.99999999999994</v>
      </c>
      <c r="B143" s="22">
        <f t="shared" si="21"/>
        <v>61.399999999999991</v>
      </c>
      <c r="C143" s="22">
        <f t="shared" si="22"/>
        <v>245.59999999999997</v>
      </c>
      <c r="D143" s="24" t="s">
        <v>105</v>
      </c>
      <c r="E143" s="24" t="s">
        <v>437</v>
      </c>
      <c r="F143" s="17" t="s">
        <v>148</v>
      </c>
      <c r="G143" s="22">
        <v>80</v>
      </c>
      <c r="H143" s="16">
        <v>0.18</v>
      </c>
      <c r="I143" s="22">
        <f t="shared" si="23"/>
        <v>14.399999999999999</v>
      </c>
      <c r="J143" s="22">
        <f t="shared" si="24"/>
        <v>94.4</v>
      </c>
      <c r="K143" s="22">
        <f t="shared" si="19"/>
        <v>8</v>
      </c>
      <c r="L143" s="22">
        <f t="shared" si="19"/>
        <v>4.8</v>
      </c>
      <c r="M143" s="22">
        <f t="shared" si="19"/>
        <v>4.8</v>
      </c>
      <c r="N143" s="22">
        <f t="shared" si="19"/>
        <v>7.1999999999999993</v>
      </c>
      <c r="O143" s="22">
        <f t="shared" si="19"/>
        <v>8</v>
      </c>
      <c r="P143" s="22">
        <f t="shared" si="19"/>
        <v>12</v>
      </c>
      <c r="Q143" s="22">
        <f t="shared" si="18"/>
        <v>16</v>
      </c>
      <c r="R143" s="22">
        <f t="shared" si="18"/>
        <v>16</v>
      </c>
      <c r="S143" s="22">
        <f t="shared" si="18"/>
        <v>7.1999999999999993</v>
      </c>
      <c r="T143" s="22">
        <f t="shared" si="18"/>
        <v>7.1999999999999993</v>
      </c>
      <c r="U143" s="22">
        <f t="shared" si="18"/>
        <v>12</v>
      </c>
      <c r="V143" s="22">
        <f t="shared" si="18"/>
        <v>16</v>
      </c>
      <c r="W143" s="22">
        <f t="shared" si="18"/>
        <v>12</v>
      </c>
      <c r="X143" s="22">
        <f t="shared" si="18"/>
        <v>8</v>
      </c>
      <c r="Y143" s="22">
        <f t="shared" si="17"/>
        <v>4</v>
      </c>
      <c r="Z143" s="22">
        <f t="shared" si="17"/>
        <v>8</v>
      </c>
    </row>
    <row r="144" spans="1:26" x14ac:dyDescent="0.3">
      <c r="A144" s="22">
        <f t="shared" si="20"/>
        <v>191.875</v>
      </c>
      <c r="B144" s="22">
        <f t="shared" si="21"/>
        <v>38.375</v>
      </c>
      <c r="C144" s="22">
        <f t="shared" si="22"/>
        <v>153.5</v>
      </c>
      <c r="D144" s="24" t="s">
        <v>105</v>
      </c>
      <c r="E144" s="24" t="s">
        <v>437</v>
      </c>
      <c r="F144" s="17" t="s">
        <v>149</v>
      </c>
      <c r="G144" s="22">
        <v>50</v>
      </c>
      <c r="H144" s="16">
        <v>0.18</v>
      </c>
      <c r="I144" s="22">
        <f t="shared" si="23"/>
        <v>9</v>
      </c>
      <c r="J144" s="22">
        <f t="shared" si="24"/>
        <v>59</v>
      </c>
      <c r="K144" s="22">
        <f t="shared" si="19"/>
        <v>5</v>
      </c>
      <c r="L144" s="22">
        <f t="shared" si="19"/>
        <v>3</v>
      </c>
      <c r="M144" s="22">
        <f t="shared" si="19"/>
        <v>3</v>
      </c>
      <c r="N144" s="22">
        <f t="shared" si="19"/>
        <v>4.5</v>
      </c>
      <c r="O144" s="22">
        <f t="shared" si="19"/>
        <v>5</v>
      </c>
      <c r="P144" s="22">
        <f t="shared" si="19"/>
        <v>7.5</v>
      </c>
      <c r="Q144" s="22">
        <f t="shared" si="18"/>
        <v>10</v>
      </c>
      <c r="R144" s="22">
        <f t="shared" si="18"/>
        <v>10</v>
      </c>
      <c r="S144" s="22">
        <f t="shared" si="18"/>
        <v>4.5</v>
      </c>
      <c r="T144" s="22">
        <f t="shared" si="18"/>
        <v>4.5</v>
      </c>
      <c r="U144" s="22">
        <f t="shared" si="18"/>
        <v>7.5</v>
      </c>
      <c r="V144" s="22">
        <f t="shared" si="18"/>
        <v>10</v>
      </c>
      <c r="W144" s="22">
        <f t="shared" si="18"/>
        <v>7.5</v>
      </c>
      <c r="X144" s="22">
        <f t="shared" si="18"/>
        <v>5</v>
      </c>
      <c r="Y144" s="22">
        <f t="shared" si="17"/>
        <v>2.5</v>
      </c>
      <c r="Z144" s="22">
        <f t="shared" si="17"/>
        <v>5</v>
      </c>
    </row>
    <row r="145" spans="1:26" x14ac:dyDescent="0.3">
      <c r="A145" s="22">
        <f t="shared" si="20"/>
        <v>76.749999999999986</v>
      </c>
      <c r="B145" s="22">
        <f t="shared" si="21"/>
        <v>15.349999999999998</v>
      </c>
      <c r="C145" s="22">
        <f t="shared" si="22"/>
        <v>61.399999999999991</v>
      </c>
      <c r="D145" s="24" t="s">
        <v>105</v>
      </c>
      <c r="E145" s="24" t="s">
        <v>437</v>
      </c>
      <c r="F145" s="17" t="s">
        <v>150</v>
      </c>
      <c r="G145" s="22">
        <v>20</v>
      </c>
      <c r="H145" s="16">
        <v>0.18</v>
      </c>
      <c r="I145" s="22">
        <f t="shared" si="23"/>
        <v>3.5999999999999996</v>
      </c>
      <c r="J145" s="22">
        <f t="shared" si="24"/>
        <v>23.6</v>
      </c>
      <c r="K145" s="22">
        <f t="shared" si="19"/>
        <v>2</v>
      </c>
      <c r="L145" s="22">
        <f t="shared" si="19"/>
        <v>1.2</v>
      </c>
      <c r="M145" s="22">
        <f t="shared" si="19"/>
        <v>1.2</v>
      </c>
      <c r="N145" s="22">
        <f t="shared" si="19"/>
        <v>1.7999999999999998</v>
      </c>
      <c r="O145" s="22">
        <f t="shared" si="19"/>
        <v>2</v>
      </c>
      <c r="P145" s="22">
        <f t="shared" si="19"/>
        <v>3</v>
      </c>
      <c r="Q145" s="22">
        <f t="shared" si="19"/>
        <v>4</v>
      </c>
      <c r="R145" s="22">
        <f t="shared" si="19"/>
        <v>4</v>
      </c>
      <c r="S145" s="22">
        <f t="shared" si="19"/>
        <v>1.7999999999999998</v>
      </c>
      <c r="T145" s="22">
        <f t="shared" si="19"/>
        <v>1.7999999999999998</v>
      </c>
      <c r="U145" s="22">
        <f t="shared" si="19"/>
        <v>3</v>
      </c>
      <c r="V145" s="22">
        <f t="shared" si="19"/>
        <v>4</v>
      </c>
      <c r="W145" s="22">
        <f t="shared" si="19"/>
        <v>3</v>
      </c>
      <c r="X145" s="22">
        <f t="shared" si="19"/>
        <v>2</v>
      </c>
      <c r="Y145" s="22">
        <f t="shared" si="17"/>
        <v>1</v>
      </c>
      <c r="Z145" s="22">
        <f t="shared" si="17"/>
        <v>2</v>
      </c>
    </row>
    <row r="146" spans="1:26" x14ac:dyDescent="0.3">
      <c r="A146" s="22">
        <f t="shared" si="20"/>
        <v>46.05</v>
      </c>
      <c r="B146" s="22">
        <f t="shared" si="21"/>
        <v>9.2099999999999991</v>
      </c>
      <c r="C146" s="22">
        <f t="shared" si="22"/>
        <v>36.839999999999996</v>
      </c>
      <c r="D146" s="24" t="s">
        <v>105</v>
      </c>
      <c r="E146" s="24" t="s">
        <v>437</v>
      </c>
      <c r="F146" s="17" t="s">
        <v>151</v>
      </c>
      <c r="G146" s="22">
        <v>12</v>
      </c>
      <c r="H146" s="16">
        <v>0.18</v>
      </c>
      <c r="I146" s="22">
        <f t="shared" si="23"/>
        <v>2.16</v>
      </c>
      <c r="J146" s="22">
        <f t="shared" si="24"/>
        <v>14.16</v>
      </c>
      <c r="K146" s="22">
        <f t="shared" si="19"/>
        <v>1.2000000000000002</v>
      </c>
      <c r="L146" s="22">
        <f t="shared" si="19"/>
        <v>0.72</v>
      </c>
      <c r="M146" s="22">
        <f t="shared" si="19"/>
        <v>0.72</v>
      </c>
      <c r="N146" s="22">
        <f t="shared" si="19"/>
        <v>1.08</v>
      </c>
      <c r="O146" s="22">
        <f t="shared" si="19"/>
        <v>1.2000000000000002</v>
      </c>
      <c r="P146" s="22">
        <f t="shared" si="19"/>
        <v>1.7999999999999998</v>
      </c>
      <c r="Q146" s="22">
        <f t="shared" si="19"/>
        <v>2.4000000000000004</v>
      </c>
      <c r="R146" s="22">
        <f t="shared" si="19"/>
        <v>2.4000000000000004</v>
      </c>
      <c r="S146" s="22">
        <f t="shared" si="19"/>
        <v>1.08</v>
      </c>
      <c r="T146" s="22">
        <f t="shared" si="19"/>
        <v>1.08</v>
      </c>
      <c r="U146" s="22">
        <f t="shared" si="19"/>
        <v>1.7999999999999998</v>
      </c>
      <c r="V146" s="22">
        <f t="shared" si="19"/>
        <v>2.4000000000000004</v>
      </c>
      <c r="W146" s="22">
        <f t="shared" si="19"/>
        <v>1.7999999999999998</v>
      </c>
      <c r="X146" s="22">
        <f t="shared" si="19"/>
        <v>1.2000000000000002</v>
      </c>
      <c r="Y146" s="22">
        <f t="shared" si="17"/>
        <v>0.60000000000000009</v>
      </c>
      <c r="Z146" s="22">
        <f t="shared" si="17"/>
        <v>1.2000000000000002</v>
      </c>
    </row>
    <row r="147" spans="1:26" x14ac:dyDescent="0.3">
      <c r="A147" s="22">
        <f t="shared" si="20"/>
        <v>57.5625</v>
      </c>
      <c r="B147" s="22">
        <f t="shared" si="21"/>
        <v>11.512499999999999</v>
      </c>
      <c r="C147" s="22">
        <f t="shared" si="22"/>
        <v>46.05</v>
      </c>
      <c r="D147" s="24" t="s">
        <v>105</v>
      </c>
      <c r="E147" s="24" t="s">
        <v>437</v>
      </c>
      <c r="F147" s="17" t="s">
        <v>152</v>
      </c>
      <c r="G147" s="22">
        <v>15</v>
      </c>
      <c r="H147" s="16">
        <v>0.18</v>
      </c>
      <c r="I147" s="22">
        <f t="shared" si="23"/>
        <v>2.6999999999999997</v>
      </c>
      <c r="J147" s="22">
        <f t="shared" si="24"/>
        <v>17.7</v>
      </c>
      <c r="K147" s="22">
        <f t="shared" si="19"/>
        <v>1.5</v>
      </c>
      <c r="L147" s="22">
        <f t="shared" si="19"/>
        <v>0.89999999999999991</v>
      </c>
      <c r="M147" s="22">
        <f t="shared" si="19"/>
        <v>0.89999999999999991</v>
      </c>
      <c r="N147" s="22">
        <f t="shared" si="19"/>
        <v>1.3499999999999999</v>
      </c>
      <c r="O147" s="22">
        <f t="shared" si="19"/>
        <v>1.5</v>
      </c>
      <c r="P147" s="22">
        <f t="shared" si="19"/>
        <v>2.25</v>
      </c>
      <c r="Q147" s="22">
        <f t="shared" si="19"/>
        <v>3</v>
      </c>
      <c r="R147" s="22">
        <f t="shared" si="19"/>
        <v>3</v>
      </c>
      <c r="S147" s="22">
        <f t="shared" si="19"/>
        <v>1.3499999999999999</v>
      </c>
      <c r="T147" s="22">
        <f t="shared" si="19"/>
        <v>1.3499999999999999</v>
      </c>
      <c r="U147" s="22">
        <f t="shared" si="19"/>
        <v>2.25</v>
      </c>
      <c r="V147" s="22">
        <f t="shared" si="19"/>
        <v>3</v>
      </c>
      <c r="W147" s="22">
        <f t="shared" si="19"/>
        <v>2.25</v>
      </c>
      <c r="X147" s="22">
        <f t="shared" si="19"/>
        <v>1.5</v>
      </c>
      <c r="Y147" s="22">
        <f t="shared" si="17"/>
        <v>0.75</v>
      </c>
      <c r="Z147" s="22">
        <f t="shared" si="17"/>
        <v>1.5</v>
      </c>
    </row>
    <row r="148" spans="1:26" x14ac:dyDescent="0.3">
      <c r="A148" s="22">
        <f t="shared" si="20"/>
        <v>30.7</v>
      </c>
      <c r="B148" s="22">
        <f t="shared" si="21"/>
        <v>6.14</v>
      </c>
      <c r="C148" s="22">
        <f t="shared" si="22"/>
        <v>24.56</v>
      </c>
      <c r="D148" s="24" t="s">
        <v>105</v>
      </c>
      <c r="E148" s="24" t="s">
        <v>437</v>
      </c>
      <c r="F148" s="17" t="s">
        <v>153</v>
      </c>
      <c r="G148" s="22">
        <v>8</v>
      </c>
      <c r="H148" s="16">
        <v>0.18</v>
      </c>
      <c r="I148" s="22">
        <f t="shared" si="23"/>
        <v>1.44</v>
      </c>
      <c r="J148" s="22">
        <f t="shared" si="24"/>
        <v>9.44</v>
      </c>
      <c r="K148" s="22">
        <f t="shared" si="19"/>
        <v>0.8</v>
      </c>
      <c r="L148" s="22">
        <f t="shared" si="19"/>
        <v>0.48</v>
      </c>
      <c r="M148" s="22">
        <f t="shared" si="19"/>
        <v>0.48</v>
      </c>
      <c r="N148" s="22">
        <f t="shared" si="19"/>
        <v>0.72</v>
      </c>
      <c r="O148" s="22">
        <f t="shared" si="19"/>
        <v>0.8</v>
      </c>
      <c r="P148" s="22">
        <f t="shared" si="19"/>
        <v>1.2</v>
      </c>
      <c r="Q148" s="22">
        <f t="shared" si="19"/>
        <v>1.6</v>
      </c>
      <c r="R148" s="22">
        <f t="shared" si="19"/>
        <v>1.6</v>
      </c>
      <c r="S148" s="22">
        <f t="shared" si="19"/>
        <v>0.72</v>
      </c>
      <c r="T148" s="22">
        <f t="shared" si="19"/>
        <v>0.72</v>
      </c>
      <c r="U148" s="22">
        <f t="shared" si="19"/>
        <v>1.2</v>
      </c>
      <c r="V148" s="22">
        <f t="shared" si="19"/>
        <v>1.6</v>
      </c>
      <c r="W148" s="22">
        <f t="shared" si="19"/>
        <v>1.2</v>
      </c>
      <c r="X148" s="22">
        <f t="shared" si="19"/>
        <v>0.8</v>
      </c>
      <c r="Y148" s="22">
        <f t="shared" si="17"/>
        <v>0.4</v>
      </c>
      <c r="Z148" s="22">
        <f t="shared" si="17"/>
        <v>0.8</v>
      </c>
    </row>
    <row r="149" spans="1:26" x14ac:dyDescent="0.3">
      <c r="A149" s="22">
        <f t="shared" si="20"/>
        <v>76.749999999999986</v>
      </c>
      <c r="B149" s="22">
        <f t="shared" si="21"/>
        <v>15.349999999999998</v>
      </c>
      <c r="C149" s="22">
        <f t="shared" si="22"/>
        <v>61.399999999999991</v>
      </c>
      <c r="D149" s="24" t="s">
        <v>105</v>
      </c>
      <c r="E149" s="24" t="s">
        <v>437</v>
      </c>
      <c r="F149" s="17" t="s">
        <v>154</v>
      </c>
      <c r="G149" s="22">
        <v>20</v>
      </c>
      <c r="H149" s="16">
        <v>0.18</v>
      </c>
      <c r="I149" s="22">
        <f t="shared" si="23"/>
        <v>3.5999999999999996</v>
      </c>
      <c r="J149" s="22">
        <f t="shared" si="24"/>
        <v>23.6</v>
      </c>
      <c r="K149" s="22">
        <f t="shared" si="19"/>
        <v>2</v>
      </c>
      <c r="L149" s="22">
        <f t="shared" si="19"/>
        <v>1.2</v>
      </c>
      <c r="M149" s="22">
        <f t="shared" si="19"/>
        <v>1.2</v>
      </c>
      <c r="N149" s="22">
        <f t="shared" si="19"/>
        <v>1.7999999999999998</v>
      </c>
      <c r="O149" s="22">
        <f t="shared" si="19"/>
        <v>2</v>
      </c>
      <c r="P149" s="22">
        <f t="shared" si="19"/>
        <v>3</v>
      </c>
      <c r="Q149" s="22">
        <f t="shared" si="19"/>
        <v>4</v>
      </c>
      <c r="R149" s="22">
        <f t="shared" si="19"/>
        <v>4</v>
      </c>
      <c r="S149" s="22">
        <f t="shared" si="19"/>
        <v>1.7999999999999998</v>
      </c>
      <c r="T149" s="22">
        <f t="shared" si="19"/>
        <v>1.7999999999999998</v>
      </c>
      <c r="U149" s="22">
        <f t="shared" si="19"/>
        <v>3</v>
      </c>
      <c r="V149" s="22">
        <f t="shared" si="19"/>
        <v>4</v>
      </c>
      <c r="W149" s="22">
        <f t="shared" si="19"/>
        <v>3</v>
      </c>
      <c r="X149" s="22">
        <f t="shared" si="19"/>
        <v>2</v>
      </c>
      <c r="Y149" s="22">
        <f t="shared" si="17"/>
        <v>1</v>
      </c>
      <c r="Z149" s="22">
        <f t="shared" si="17"/>
        <v>2</v>
      </c>
    </row>
    <row r="150" spans="1:26" x14ac:dyDescent="0.3">
      <c r="A150" s="22">
        <f t="shared" si="20"/>
        <v>518.06249999999989</v>
      </c>
      <c r="B150" s="22">
        <f t="shared" si="21"/>
        <v>103.61249999999998</v>
      </c>
      <c r="C150" s="22">
        <f t="shared" si="22"/>
        <v>414.44999999999993</v>
      </c>
      <c r="D150" s="24" t="s">
        <v>105</v>
      </c>
      <c r="E150" s="24" t="s">
        <v>437</v>
      </c>
      <c r="F150" s="17" t="s">
        <v>155</v>
      </c>
      <c r="G150" s="22">
        <v>135</v>
      </c>
      <c r="H150" s="16">
        <v>0.18</v>
      </c>
      <c r="I150" s="22">
        <f t="shared" si="23"/>
        <v>24.3</v>
      </c>
      <c r="J150" s="22">
        <f t="shared" si="24"/>
        <v>159.30000000000001</v>
      </c>
      <c r="K150" s="22">
        <f t="shared" si="19"/>
        <v>13.5</v>
      </c>
      <c r="L150" s="22">
        <f t="shared" si="19"/>
        <v>8.1</v>
      </c>
      <c r="M150" s="22">
        <f t="shared" si="19"/>
        <v>8.1</v>
      </c>
      <c r="N150" s="22">
        <f t="shared" si="19"/>
        <v>12.15</v>
      </c>
      <c r="O150" s="22">
        <f t="shared" si="19"/>
        <v>13.5</v>
      </c>
      <c r="P150" s="22">
        <f t="shared" si="19"/>
        <v>20.25</v>
      </c>
      <c r="Q150" s="22">
        <f t="shared" si="19"/>
        <v>27</v>
      </c>
      <c r="R150" s="22">
        <f t="shared" si="19"/>
        <v>27</v>
      </c>
      <c r="S150" s="22">
        <f t="shared" si="19"/>
        <v>12.15</v>
      </c>
      <c r="T150" s="22">
        <f t="shared" si="19"/>
        <v>12.15</v>
      </c>
      <c r="U150" s="22">
        <f t="shared" si="19"/>
        <v>20.25</v>
      </c>
      <c r="V150" s="22">
        <f t="shared" si="19"/>
        <v>27</v>
      </c>
      <c r="W150" s="22">
        <f t="shared" si="19"/>
        <v>20.25</v>
      </c>
      <c r="X150" s="22">
        <f t="shared" si="19"/>
        <v>13.5</v>
      </c>
      <c r="Y150" s="22">
        <f t="shared" si="17"/>
        <v>6.75</v>
      </c>
      <c r="Z150" s="22">
        <f t="shared" si="17"/>
        <v>13.5</v>
      </c>
    </row>
    <row r="151" spans="1:26" x14ac:dyDescent="0.3">
      <c r="A151" s="22">
        <f t="shared" si="20"/>
        <v>122.8</v>
      </c>
      <c r="B151" s="22">
        <f t="shared" si="21"/>
        <v>24.56</v>
      </c>
      <c r="C151" s="22">
        <f t="shared" si="22"/>
        <v>98.24</v>
      </c>
      <c r="D151" s="24" t="s">
        <v>105</v>
      </c>
      <c r="E151" s="24" t="s">
        <v>437</v>
      </c>
      <c r="F151" s="17" t="s">
        <v>156</v>
      </c>
      <c r="G151" s="22">
        <v>32</v>
      </c>
      <c r="H151" s="16">
        <v>0.18</v>
      </c>
      <c r="I151" s="22">
        <f t="shared" si="23"/>
        <v>5.76</v>
      </c>
      <c r="J151" s="22">
        <f t="shared" si="24"/>
        <v>37.76</v>
      </c>
      <c r="K151" s="22">
        <f t="shared" si="19"/>
        <v>3.2</v>
      </c>
      <c r="L151" s="22">
        <f t="shared" si="19"/>
        <v>1.92</v>
      </c>
      <c r="M151" s="22">
        <f t="shared" si="19"/>
        <v>1.92</v>
      </c>
      <c r="N151" s="22">
        <f t="shared" si="19"/>
        <v>2.88</v>
      </c>
      <c r="O151" s="22">
        <f t="shared" si="19"/>
        <v>3.2</v>
      </c>
      <c r="P151" s="22">
        <f t="shared" si="19"/>
        <v>4.8</v>
      </c>
      <c r="Q151" s="22">
        <f t="shared" si="19"/>
        <v>6.4</v>
      </c>
      <c r="R151" s="22">
        <f t="shared" si="19"/>
        <v>6.4</v>
      </c>
      <c r="S151" s="22">
        <f t="shared" si="19"/>
        <v>2.88</v>
      </c>
      <c r="T151" s="22">
        <f t="shared" si="19"/>
        <v>2.88</v>
      </c>
      <c r="U151" s="22">
        <f t="shared" si="19"/>
        <v>4.8</v>
      </c>
      <c r="V151" s="22">
        <f t="shared" si="19"/>
        <v>6.4</v>
      </c>
      <c r="W151" s="22">
        <f t="shared" si="19"/>
        <v>4.8</v>
      </c>
      <c r="X151" s="22">
        <f t="shared" si="19"/>
        <v>3.2</v>
      </c>
      <c r="Y151" s="22">
        <f t="shared" si="17"/>
        <v>1.6</v>
      </c>
      <c r="Z151" s="22">
        <f t="shared" si="17"/>
        <v>3.2</v>
      </c>
    </row>
    <row r="152" spans="1:26" x14ac:dyDescent="0.3">
      <c r="A152" s="22">
        <f t="shared" si="20"/>
        <v>76.749999999999986</v>
      </c>
      <c r="B152" s="22">
        <f t="shared" si="21"/>
        <v>15.349999999999998</v>
      </c>
      <c r="C152" s="22">
        <f t="shared" si="22"/>
        <v>61.399999999999991</v>
      </c>
      <c r="D152" s="24" t="s">
        <v>105</v>
      </c>
      <c r="E152" s="24" t="s">
        <v>437</v>
      </c>
      <c r="F152" s="17" t="s">
        <v>157</v>
      </c>
      <c r="G152" s="22">
        <v>20</v>
      </c>
      <c r="H152" s="16">
        <v>0.18</v>
      </c>
      <c r="I152" s="22">
        <f t="shared" si="23"/>
        <v>3.5999999999999996</v>
      </c>
      <c r="J152" s="22">
        <f t="shared" si="24"/>
        <v>23.6</v>
      </c>
      <c r="K152" s="22">
        <f t="shared" si="19"/>
        <v>2</v>
      </c>
      <c r="L152" s="22">
        <f t="shared" si="19"/>
        <v>1.2</v>
      </c>
      <c r="M152" s="22">
        <f t="shared" si="19"/>
        <v>1.2</v>
      </c>
      <c r="N152" s="22">
        <f t="shared" si="19"/>
        <v>1.7999999999999998</v>
      </c>
      <c r="O152" s="22">
        <f t="shared" si="19"/>
        <v>2</v>
      </c>
      <c r="P152" s="22">
        <f t="shared" si="19"/>
        <v>3</v>
      </c>
      <c r="Q152" s="22">
        <f t="shared" si="19"/>
        <v>4</v>
      </c>
      <c r="R152" s="22">
        <f t="shared" si="19"/>
        <v>4</v>
      </c>
      <c r="S152" s="22">
        <f t="shared" si="19"/>
        <v>1.7999999999999998</v>
      </c>
      <c r="T152" s="22">
        <f t="shared" si="19"/>
        <v>1.7999999999999998</v>
      </c>
      <c r="U152" s="22">
        <f t="shared" si="19"/>
        <v>3</v>
      </c>
      <c r="V152" s="22">
        <f t="shared" si="19"/>
        <v>4</v>
      </c>
      <c r="W152" s="22">
        <f t="shared" si="19"/>
        <v>3</v>
      </c>
      <c r="X152" s="22">
        <f t="shared" si="19"/>
        <v>2</v>
      </c>
      <c r="Y152" s="22">
        <f t="shared" si="17"/>
        <v>1</v>
      </c>
      <c r="Z152" s="22">
        <f t="shared" si="17"/>
        <v>2</v>
      </c>
    </row>
    <row r="153" spans="1:26" x14ac:dyDescent="0.3">
      <c r="A153" s="22">
        <f t="shared" si="20"/>
        <v>115.125</v>
      </c>
      <c r="B153" s="22">
        <f t="shared" si="21"/>
        <v>23.024999999999999</v>
      </c>
      <c r="C153" s="22">
        <f t="shared" si="22"/>
        <v>92.1</v>
      </c>
      <c r="D153" s="24" t="s">
        <v>105</v>
      </c>
      <c r="E153" s="24" t="s">
        <v>437</v>
      </c>
      <c r="F153" s="17" t="s">
        <v>158</v>
      </c>
      <c r="G153" s="22">
        <v>30</v>
      </c>
      <c r="H153" s="16">
        <v>0.18</v>
      </c>
      <c r="I153" s="22">
        <f t="shared" si="23"/>
        <v>5.3999999999999995</v>
      </c>
      <c r="J153" s="22">
        <f t="shared" si="24"/>
        <v>35.4</v>
      </c>
      <c r="K153" s="22">
        <f t="shared" si="19"/>
        <v>3</v>
      </c>
      <c r="L153" s="22">
        <f t="shared" si="19"/>
        <v>1.7999999999999998</v>
      </c>
      <c r="M153" s="22">
        <f t="shared" si="19"/>
        <v>1.7999999999999998</v>
      </c>
      <c r="N153" s="22">
        <f t="shared" si="19"/>
        <v>2.6999999999999997</v>
      </c>
      <c r="O153" s="22">
        <f t="shared" si="19"/>
        <v>3</v>
      </c>
      <c r="P153" s="22">
        <f t="shared" si="19"/>
        <v>4.5</v>
      </c>
      <c r="Q153" s="22">
        <f t="shared" si="19"/>
        <v>6</v>
      </c>
      <c r="R153" s="22">
        <f t="shared" si="19"/>
        <v>6</v>
      </c>
      <c r="S153" s="22">
        <f t="shared" si="19"/>
        <v>2.6999999999999997</v>
      </c>
      <c r="T153" s="22">
        <f t="shared" si="19"/>
        <v>2.6999999999999997</v>
      </c>
      <c r="U153" s="22">
        <f t="shared" si="19"/>
        <v>4.5</v>
      </c>
      <c r="V153" s="22">
        <f t="shared" si="19"/>
        <v>6</v>
      </c>
      <c r="W153" s="22">
        <f t="shared" si="19"/>
        <v>4.5</v>
      </c>
      <c r="X153" s="22">
        <f t="shared" si="19"/>
        <v>3</v>
      </c>
      <c r="Y153" s="22">
        <f t="shared" si="17"/>
        <v>1.5</v>
      </c>
      <c r="Z153" s="22">
        <f t="shared" si="17"/>
        <v>3</v>
      </c>
    </row>
    <row r="154" spans="1:26" x14ac:dyDescent="0.3">
      <c r="A154" s="22">
        <f t="shared" si="20"/>
        <v>115.125</v>
      </c>
      <c r="B154" s="22">
        <f t="shared" si="21"/>
        <v>23.024999999999999</v>
      </c>
      <c r="C154" s="22">
        <f t="shared" si="22"/>
        <v>92.1</v>
      </c>
      <c r="D154" s="24" t="s">
        <v>105</v>
      </c>
      <c r="E154" s="24" t="s">
        <v>437</v>
      </c>
      <c r="F154" s="17" t="s">
        <v>159</v>
      </c>
      <c r="G154" s="22">
        <v>30</v>
      </c>
      <c r="H154" s="16">
        <v>0.18</v>
      </c>
      <c r="I154" s="22">
        <f t="shared" si="23"/>
        <v>5.3999999999999995</v>
      </c>
      <c r="J154" s="22">
        <f t="shared" si="24"/>
        <v>35.4</v>
      </c>
      <c r="K154" s="22">
        <f t="shared" ref="K154:Z217" si="25">$G154*K$1</f>
        <v>3</v>
      </c>
      <c r="L154" s="22">
        <f t="shared" si="25"/>
        <v>1.7999999999999998</v>
      </c>
      <c r="M154" s="22">
        <f t="shared" si="25"/>
        <v>1.7999999999999998</v>
      </c>
      <c r="N154" s="22">
        <f t="shared" si="25"/>
        <v>2.6999999999999997</v>
      </c>
      <c r="O154" s="22">
        <f t="shared" si="25"/>
        <v>3</v>
      </c>
      <c r="P154" s="22">
        <f t="shared" si="25"/>
        <v>4.5</v>
      </c>
      <c r="Q154" s="22">
        <f t="shared" si="25"/>
        <v>6</v>
      </c>
      <c r="R154" s="22">
        <f t="shared" si="25"/>
        <v>6</v>
      </c>
      <c r="S154" s="22">
        <f t="shared" si="25"/>
        <v>2.6999999999999997</v>
      </c>
      <c r="T154" s="22">
        <f t="shared" si="25"/>
        <v>2.6999999999999997</v>
      </c>
      <c r="U154" s="22">
        <f t="shared" si="25"/>
        <v>4.5</v>
      </c>
      <c r="V154" s="22">
        <f t="shared" si="25"/>
        <v>6</v>
      </c>
      <c r="W154" s="22">
        <f t="shared" si="25"/>
        <v>4.5</v>
      </c>
      <c r="X154" s="22">
        <f t="shared" si="25"/>
        <v>3</v>
      </c>
      <c r="Y154" s="22">
        <f t="shared" si="17"/>
        <v>1.5</v>
      </c>
      <c r="Z154" s="22">
        <f t="shared" si="17"/>
        <v>3</v>
      </c>
    </row>
    <row r="155" spans="1:26" x14ac:dyDescent="0.3">
      <c r="A155" s="22">
        <f t="shared" si="20"/>
        <v>130.47499999999999</v>
      </c>
      <c r="B155" s="22">
        <f t="shared" si="21"/>
        <v>26.094999999999999</v>
      </c>
      <c r="C155" s="22">
        <f t="shared" si="22"/>
        <v>104.38</v>
      </c>
      <c r="D155" s="24" t="s">
        <v>105</v>
      </c>
      <c r="E155" s="24" t="s">
        <v>437</v>
      </c>
      <c r="F155" s="17" t="s">
        <v>160</v>
      </c>
      <c r="G155" s="22">
        <v>34</v>
      </c>
      <c r="H155" s="16">
        <v>0.18</v>
      </c>
      <c r="I155" s="22">
        <f t="shared" si="23"/>
        <v>6.12</v>
      </c>
      <c r="J155" s="22">
        <f t="shared" si="24"/>
        <v>40.119999999999997</v>
      </c>
      <c r="K155" s="22">
        <f t="shared" si="25"/>
        <v>3.4000000000000004</v>
      </c>
      <c r="L155" s="22">
        <f t="shared" si="25"/>
        <v>2.04</v>
      </c>
      <c r="M155" s="22">
        <f t="shared" si="25"/>
        <v>2.04</v>
      </c>
      <c r="N155" s="22">
        <f t="shared" si="25"/>
        <v>3.06</v>
      </c>
      <c r="O155" s="22">
        <f t="shared" si="25"/>
        <v>3.4000000000000004</v>
      </c>
      <c r="P155" s="22">
        <f t="shared" si="25"/>
        <v>5.0999999999999996</v>
      </c>
      <c r="Q155" s="22">
        <f t="shared" si="25"/>
        <v>6.8000000000000007</v>
      </c>
      <c r="R155" s="22">
        <f t="shared" si="25"/>
        <v>6.8000000000000007</v>
      </c>
      <c r="S155" s="22">
        <f t="shared" si="25"/>
        <v>3.06</v>
      </c>
      <c r="T155" s="22">
        <f t="shared" si="25"/>
        <v>3.06</v>
      </c>
      <c r="U155" s="22">
        <f t="shared" si="25"/>
        <v>5.0999999999999996</v>
      </c>
      <c r="V155" s="22">
        <f t="shared" si="25"/>
        <v>6.8000000000000007</v>
      </c>
      <c r="W155" s="22">
        <f t="shared" si="25"/>
        <v>5.0999999999999996</v>
      </c>
      <c r="X155" s="22">
        <f t="shared" si="25"/>
        <v>3.4000000000000004</v>
      </c>
      <c r="Y155" s="22">
        <f t="shared" si="17"/>
        <v>1.7000000000000002</v>
      </c>
      <c r="Z155" s="22">
        <f t="shared" si="17"/>
        <v>3.4000000000000004</v>
      </c>
    </row>
    <row r="156" spans="1:26" x14ac:dyDescent="0.3">
      <c r="A156" s="22">
        <f t="shared" si="20"/>
        <v>537.25000000000011</v>
      </c>
      <c r="B156" s="22">
        <f t="shared" si="21"/>
        <v>107.45000000000002</v>
      </c>
      <c r="C156" s="22">
        <f t="shared" si="22"/>
        <v>429.80000000000007</v>
      </c>
      <c r="D156" s="24" t="s">
        <v>105</v>
      </c>
      <c r="E156" s="24" t="s">
        <v>437</v>
      </c>
      <c r="F156" s="17" t="s">
        <v>161</v>
      </c>
      <c r="G156" s="22">
        <v>140</v>
      </c>
      <c r="H156" s="16">
        <v>0.18</v>
      </c>
      <c r="I156" s="22">
        <f t="shared" si="23"/>
        <v>25.2</v>
      </c>
      <c r="J156" s="22">
        <f t="shared" si="24"/>
        <v>165.2</v>
      </c>
      <c r="K156" s="22">
        <f t="shared" si="25"/>
        <v>14</v>
      </c>
      <c r="L156" s="22">
        <f t="shared" si="25"/>
        <v>8.4</v>
      </c>
      <c r="M156" s="22">
        <f t="shared" si="25"/>
        <v>8.4</v>
      </c>
      <c r="N156" s="22">
        <f t="shared" si="25"/>
        <v>12.6</v>
      </c>
      <c r="O156" s="22">
        <f t="shared" si="25"/>
        <v>14</v>
      </c>
      <c r="P156" s="22">
        <f t="shared" si="25"/>
        <v>21</v>
      </c>
      <c r="Q156" s="22">
        <f t="shared" si="25"/>
        <v>28</v>
      </c>
      <c r="R156" s="22">
        <f t="shared" si="25"/>
        <v>28</v>
      </c>
      <c r="S156" s="22">
        <f t="shared" si="25"/>
        <v>12.6</v>
      </c>
      <c r="T156" s="22">
        <f t="shared" si="25"/>
        <v>12.6</v>
      </c>
      <c r="U156" s="22">
        <f t="shared" si="25"/>
        <v>21</v>
      </c>
      <c r="V156" s="22">
        <f t="shared" si="25"/>
        <v>28</v>
      </c>
      <c r="W156" s="22">
        <f t="shared" si="25"/>
        <v>21</v>
      </c>
      <c r="X156" s="22">
        <f t="shared" si="25"/>
        <v>14</v>
      </c>
      <c r="Y156" s="22">
        <f t="shared" si="17"/>
        <v>7</v>
      </c>
      <c r="Z156" s="22">
        <f t="shared" si="17"/>
        <v>14</v>
      </c>
    </row>
    <row r="157" spans="1:26" x14ac:dyDescent="0.3">
      <c r="A157" s="22">
        <f t="shared" si="20"/>
        <v>126.63749999999996</v>
      </c>
      <c r="B157" s="22">
        <f t="shared" si="21"/>
        <v>25.327499999999993</v>
      </c>
      <c r="C157" s="22">
        <f t="shared" si="22"/>
        <v>101.30999999999997</v>
      </c>
      <c r="D157" s="24" t="s">
        <v>105</v>
      </c>
      <c r="E157" s="24" t="s">
        <v>437</v>
      </c>
      <c r="F157" s="17" t="s">
        <v>162</v>
      </c>
      <c r="G157" s="22">
        <v>33</v>
      </c>
      <c r="H157" s="16">
        <v>0.18</v>
      </c>
      <c r="I157" s="22">
        <f t="shared" si="23"/>
        <v>5.9399999999999995</v>
      </c>
      <c r="J157" s="22">
        <f t="shared" si="24"/>
        <v>38.94</v>
      </c>
      <c r="K157" s="22">
        <f t="shared" si="25"/>
        <v>3.3000000000000003</v>
      </c>
      <c r="L157" s="22">
        <f t="shared" si="25"/>
        <v>1.98</v>
      </c>
      <c r="M157" s="22">
        <f t="shared" si="25"/>
        <v>1.98</v>
      </c>
      <c r="N157" s="22">
        <f t="shared" si="25"/>
        <v>2.9699999999999998</v>
      </c>
      <c r="O157" s="22">
        <f t="shared" si="25"/>
        <v>3.3000000000000003</v>
      </c>
      <c r="P157" s="22">
        <f t="shared" si="25"/>
        <v>4.95</v>
      </c>
      <c r="Q157" s="22">
        <f t="shared" si="25"/>
        <v>6.6000000000000005</v>
      </c>
      <c r="R157" s="22">
        <f t="shared" si="25"/>
        <v>6.6000000000000005</v>
      </c>
      <c r="S157" s="22">
        <f t="shared" si="25"/>
        <v>2.9699999999999998</v>
      </c>
      <c r="T157" s="22">
        <f t="shared" si="25"/>
        <v>2.9699999999999998</v>
      </c>
      <c r="U157" s="22">
        <f t="shared" si="25"/>
        <v>4.95</v>
      </c>
      <c r="V157" s="22">
        <f t="shared" si="25"/>
        <v>6.6000000000000005</v>
      </c>
      <c r="W157" s="22">
        <f t="shared" si="25"/>
        <v>4.95</v>
      </c>
      <c r="X157" s="22">
        <f t="shared" si="25"/>
        <v>3.3000000000000003</v>
      </c>
      <c r="Y157" s="22">
        <f t="shared" si="17"/>
        <v>1.6500000000000001</v>
      </c>
      <c r="Z157" s="22">
        <f t="shared" si="17"/>
        <v>3.3000000000000003</v>
      </c>
    </row>
    <row r="158" spans="1:26" x14ac:dyDescent="0.3">
      <c r="A158" s="22">
        <f t="shared" si="20"/>
        <v>498.875</v>
      </c>
      <c r="B158" s="22">
        <f t="shared" si="21"/>
        <v>99.775000000000006</v>
      </c>
      <c r="C158" s="22">
        <f t="shared" si="22"/>
        <v>399.1</v>
      </c>
      <c r="D158" s="24" t="s">
        <v>105</v>
      </c>
      <c r="E158" s="24" t="s">
        <v>437</v>
      </c>
      <c r="F158" s="17" t="s">
        <v>163</v>
      </c>
      <c r="G158" s="22">
        <v>130</v>
      </c>
      <c r="H158" s="16">
        <v>0.18</v>
      </c>
      <c r="I158" s="22">
        <f t="shared" si="23"/>
        <v>23.4</v>
      </c>
      <c r="J158" s="22">
        <f t="shared" si="24"/>
        <v>153.4</v>
      </c>
      <c r="K158" s="22">
        <f t="shared" si="25"/>
        <v>13</v>
      </c>
      <c r="L158" s="22">
        <f t="shared" si="25"/>
        <v>7.8</v>
      </c>
      <c r="M158" s="22">
        <f t="shared" si="25"/>
        <v>7.8</v>
      </c>
      <c r="N158" s="22">
        <f t="shared" si="25"/>
        <v>11.7</v>
      </c>
      <c r="O158" s="22">
        <f t="shared" si="25"/>
        <v>13</v>
      </c>
      <c r="P158" s="22">
        <f t="shared" si="25"/>
        <v>19.5</v>
      </c>
      <c r="Q158" s="22">
        <f t="shared" si="25"/>
        <v>26</v>
      </c>
      <c r="R158" s="22">
        <f t="shared" si="25"/>
        <v>26</v>
      </c>
      <c r="S158" s="22">
        <f t="shared" si="25"/>
        <v>11.7</v>
      </c>
      <c r="T158" s="22">
        <f t="shared" si="25"/>
        <v>11.7</v>
      </c>
      <c r="U158" s="22">
        <f t="shared" si="25"/>
        <v>19.5</v>
      </c>
      <c r="V158" s="22">
        <f t="shared" si="25"/>
        <v>26</v>
      </c>
      <c r="W158" s="22">
        <f t="shared" si="25"/>
        <v>19.5</v>
      </c>
      <c r="X158" s="22">
        <f t="shared" si="25"/>
        <v>13</v>
      </c>
      <c r="Y158" s="22">
        <f t="shared" si="17"/>
        <v>6.5</v>
      </c>
      <c r="Z158" s="22">
        <f t="shared" si="17"/>
        <v>13</v>
      </c>
    </row>
    <row r="159" spans="1:26" x14ac:dyDescent="0.3">
      <c r="A159" s="22">
        <f t="shared" si="20"/>
        <v>191.875</v>
      </c>
      <c r="B159" s="22">
        <f t="shared" si="21"/>
        <v>38.375</v>
      </c>
      <c r="C159" s="22">
        <f t="shared" si="22"/>
        <v>153.5</v>
      </c>
      <c r="D159" s="24" t="s">
        <v>105</v>
      </c>
      <c r="E159" s="24" t="s">
        <v>437</v>
      </c>
      <c r="F159" s="17" t="s">
        <v>164</v>
      </c>
      <c r="G159" s="22">
        <v>50</v>
      </c>
      <c r="H159" s="16">
        <v>0.18</v>
      </c>
      <c r="I159" s="22">
        <f t="shared" si="23"/>
        <v>9</v>
      </c>
      <c r="J159" s="22">
        <f t="shared" si="24"/>
        <v>59</v>
      </c>
      <c r="K159" s="22">
        <f t="shared" si="25"/>
        <v>5</v>
      </c>
      <c r="L159" s="22">
        <f t="shared" si="25"/>
        <v>3</v>
      </c>
      <c r="M159" s="22">
        <f t="shared" si="25"/>
        <v>3</v>
      </c>
      <c r="N159" s="22">
        <f t="shared" si="25"/>
        <v>4.5</v>
      </c>
      <c r="O159" s="22">
        <f t="shared" si="25"/>
        <v>5</v>
      </c>
      <c r="P159" s="22">
        <f t="shared" si="25"/>
        <v>7.5</v>
      </c>
      <c r="Q159" s="22">
        <f t="shared" si="25"/>
        <v>10</v>
      </c>
      <c r="R159" s="22">
        <f t="shared" si="25"/>
        <v>10</v>
      </c>
      <c r="S159" s="22">
        <f t="shared" si="25"/>
        <v>4.5</v>
      </c>
      <c r="T159" s="22">
        <f t="shared" si="25"/>
        <v>4.5</v>
      </c>
      <c r="U159" s="22">
        <f t="shared" si="25"/>
        <v>7.5</v>
      </c>
      <c r="V159" s="22">
        <f t="shared" si="25"/>
        <v>10</v>
      </c>
      <c r="W159" s="22">
        <f t="shared" si="25"/>
        <v>7.5</v>
      </c>
      <c r="X159" s="22">
        <f t="shared" si="25"/>
        <v>5</v>
      </c>
      <c r="Y159" s="22">
        <f t="shared" si="17"/>
        <v>2.5</v>
      </c>
      <c r="Z159" s="22">
        <f t="shared" si="17"/>
        <v>5</v>
      </c>
    </row>
    <row r="160" spans="1:26" x14ac:dyDescent="0.3">
      <c r="A160" s="22">
        <f t="shared" si="20"/>
        <v>122.8</v>
      </c>
      <c r="B160" s="22">
        <f t="shared" si="21"/>
        <v>24.56</v>
      </c>
      <c r="C160" s="22">
        <f t="shared" si="22"/>
        <v>98.24</v>
      </c>
      <c r="D160" s="24" t="s">
        <v>105</v>
      </c>
      <c r="E160" s="24" t="s">
        <v>437</v>
      </c>
      <c r="F160" s="17" t="s">
        <v>165</v>
      </c>
      <c r="G160" s="22">
        <v>32</v>
      </c>
      <c r="H160" s="16">
        <v>0.18</v>
      </c>
      <c r="I160" s="22">
        <f t="shared" si="23"/>
        <v>5.76</v>
      </c>
      <c r="J160" s="22">
        <f t="shared" si="24"/>
        <v>37.76</v>
      </c>
      <c r="K160" s="22">
        <f t="shared" si="25"/>
        <v>3.2</v>
      </c>
      <c r="L160" s="22">
        <f t="shared" si="25"/>
        <v>1.92</v>
      </c>
      <c r="M160" s="22">
        <f t="shared" si="25"/>
        <v>1.92</v>
      </c>
      <c r="N160" s="22">
        <f t="shared" si="25"/>
        <v>2.88</v>
      </c>
      <c r="O160" s="22">
        <f t="shared" si="25"/>
        <v>3.2</v>
      </c>
      <c r="P160" s="22">
        <f t="shared" si="25"/>
        <v>4.8</v>
      </c>
      <c r="Q160" s="22">
        <f t="shared" si="25"/>
        <v>6.4</v>
      </c>
      <c r="R160" s="22">
        <f t="shared" si="25"/>
        <v>6.4</v>
      </c>
      <c r="S160" s="22">
        <f t="shared" si="25"/>
        <v>2.88</v>
      </c>
      <c r="T160" s="22">
        <f t="shared" si="25"/>
        <v>2.88</v>
      </c>
      <c r="U160" s="22">
        <f t="shared" si="25"/>
        <v>4.8</v>
      </c>
      <c r="V160" s="22">
        <f t="shared" si="25"/>
        <v>6.4</v>
      </c>
      <c r="W160" s="22">
        <f t="shared" si="25"/>
        <v>4.8</v>
      </c>
      <c r="X160" s="22">
        <f t="shared" si="25"/>
        <v>3.2</v>
      </c>
      <c r="Y160" s="22">
        <f t="shared" si="17"/>
        <v>1.6</v>
      </c>
      <c r="Z160" s="22">
        <f t="shared" si="17"/>
        <v>3.2</v>
      </c>
    </row>
    <row r="161" spans="1:26" x14ac:dyDescent="0.3">
      <c r="A161" s="22">
        <f t="shared" si="20"/>
        <v>53.725000000000009</v>
      </c>
      <c r="B161" s="22">
        <f t="shared" si="21"/>
        <v>10.745000000000001</v>
      </c>
      <c r="C161" s="22">
        <f t="shared" si="22"/>
        <v>42.980000000000004</v>
      </c>
      <c r="D161" s="24" t="s">
        <v>105</v>
      </c>
      <c r="E161" s="24" t="s">
        <v>437</v>
      </c>
      <c r="F161" s="17" t="s">
        <v>166</v>
      </c>
      <c r="G161" s="22">
        <v>14</v>
      </c>
      <c r="H161" s="16">
        <v>0.18</v>
      </c>
      <c r="I161" s="22">
        <f t="shared" si="23"/>
        <v>2.52</v>
      </c>
      <c r="J161" s="22">
        <f t="shared" si="24"/>
        <v>16.52</v>
      </c>
      <c r="K161" s="22">
        <f t="shared" si="25"/>
        <v>1.4000000000000001</v>
      </c>
      <c r="L161" s="22">
        <f t="shared" si="25"/>
        <v>0.84</v>
      </c>
      <c r="M161" s="22">
        <f t="shared" si="25"/>
        <v>0.84</v>
      </c>
      <c r="N161" s="22">
        <f t="shared" si="25"/>
        <v>1.26</v>
      </c>
      <c r="O161" s="22">
        <f t="shared" si="25"/>
        <v>1.4000000000000001</v>
      </c>
      <c r="P161" s="22">
        <f t="shared" si="25"/>
        <v>2.1</v>
      </c>
      <c r="Q161" s="22">
        <f t="shared" si="25"/>
        <v>2.8000000000000003</v>
      </c>
      <c r="R161" s="22">
        <f t="shared" si="25"/>
        <v>2.8000000000000003</v>
      </c>
      <c r="S161" s="22">
        <f t="shared" si="25"/>
        <v>1.26</v>
      </c>
      <c r="T161" s="22">
        <f t="shared" si="25"/>
        <v>1.26</v>
      </c>
      <c r="U161" s="22">
        <f t="shared" si="25"/>
        <v>2.1</v>
      </c>
      <c r="V161" s="22">
        <f t="shared" si="25"/>
        <v>2.8000000000000003</v>
      </c>
      <c r="W161" s="22">
        <f t="shared" si="25"/>
        <v>2.1</v>
      </c>
      <c r="X161" s="22">
        <f t="shared" si="25"/>
        <v>1.4000000000000001</v>
      </c>
      <c r="Y161" s="22">
        <f t="shared" si="17"/>
        <v>0.70000000000000007</v>
      </c>
      <c r="Z161" s="22">
        <f t="shared" si="17"/>
        <v>1.4000000000000001</v>
      </c>
    </row>
    <row r="162" spans="1:26" x14ac:dyDescent="0.3">
      <c r="A162" s="22">
        <f t="shared" si="20"/>
        <v>69.074999999999989</v>
      </c>
      <c r="B162" s="22">
        <f t="shared" si="21"/>
        <v>13.814999999999998</v>
      </c>
      <c r="C162" s="22">
        <f t="shared" si="22"/>
        <v>55.259999999999991</v>
      </c>
      <c r="D162" s="24" t="s">
        <v>105</v>
      </c>
      <c r="E162" s="24" t="s">
        <v>437</v>
      </c>
      <c r="F162" s="17" t="s">
        <v>167</v>
      </c>
      <c r="G162" s="22">
        <v>18</v>
      </c>
      <c r="H162" s="16">
        <v>0.18</v>
      </c>
      <c r="I162" s="22">
        <f t="shared" si="23"/>
        <v>3.2399999999999998</v>
      </c>
      <c r="J162" s="22">
        <f t="shared" si="24"/>
        <v>21.24</v>
      </c>
      <c r="K162" s="22">
        <f t="shared" si="25"/>
        <v>1.8</v>
      </c>
      <c r="L162" s="22">
        <f t="shared" si="25"/>
        <v>1.08</v>
      </c>
      <c r="M162" s="22">
        <f t="shared" si="25"/>
        <v>1.08</v>
      </c>
      <c r="N162" s="22">
        <f t="shared" si="25"/>
        <v>1.6199999999999999</v>
      </c>
      <c r="O162" s="22">
        <f t="shared" si="25"/>
        <v>1.8</v>
      </c>
      <c r="P162" s="22">
        <f t="shared" si="25"/>
        <v>2.6999999999999997</v>
      </c>
      <c r="Q162" s="22">
        <f t="shared" si="25"/>
        <v>3.6</v>
      </c>
      <c r="R162" s="22">
        <f t="shared" si="25"/>
        <v>3.6</v>
      </c>
      <c r="S162" s="22">
        <f t="shared" si="25"/>
        <v>1.6199999999999999</v>
      </c>
      <c r="T162" s="22">
        <f t="shared" si="25"/>
        <v>1.6199999999999999</v>
      </c>
      <c r="U162" s="22">
        <f t="shared" si="25"/>
        <v>2.6999999999999997</v>
      </c>
      <c r="V162" s="22">
        <f t="shared" si="25"/>
        <v>3.6</v>
      </c>
      <c r="W162" s="22">
        <f t="shared" si="25"/>
        <v>2.6999999999999997</v>
      </c>
      <c r="X162" s="22">
        <f t="shared" si="25"/>
        <v>1.8</v>
      </c>
      <c r="Y162" s="22">
        <f t="shared" si="17"/>
        <v>0.9</v>
      </c>
      <c r="Z162" s="22">
        <f t="shared" si="17"/>
        <v>1.8</v>
      </c>
    </row>
    <row r="163" spans="1:26" x14ac:dyDescent="0.3">
      <c r="A163" s="22">
        <f t="shared" si="20"/>
        <v>115.125</v>
      </c>
      <c r="B163" s="22">
        <f t="shared" si="21"/>
        <v>23.024999999999999</v>
      </c>
      <c r="C163" s="22">
        <f t="shared" si="22"/>
        <v>92.1</v>
      </c>
      <c r="D163" s="24" t="s">
        <v>105</v>
      </c>
      <c r="E163" s="24" t="s">
        <v>437</v>
      </c>
      <c r="F163" s="17" t="s">
        <v>168</v>
      </c>
      <c r="G163" s="22">
        <v>30</v>
      </c>
      <c r="H163" s="16">
        <v>0.18</v>
      </c>
      <c r="I163" s="22">
        <f t="shared" si="23"/>
        <v>5.3999999999999995</v>
      </c>
      <c r="J163" s="22">
        <f t="shared" si="24"/>
        <v>35.4</v>
      </c>
      <c r="K163" s="22">
        <f t="shared" si="25"/>
        <v>3</v>
      </c>
      <c r="L163" s="22">
        <f t="shared" si="25"/>
        <v>1.7999999999999998</v>
      </c>
      <c r="M163" s="22">
        <f t="shared" si="25"/>
        <v>1.7999999999999998</v>
      </c>
      <c r="N163" s="22">
        <f t="shared" si="25"/>
        <v>2.6999999999999997</v>
      </c>
      <c r="O163" s="22">
        <f t="shared" si="25"/>
        <v>3</v>
      </c>
      <c r="P163" s="22">
        <f t="shared" si="25"/>
        <v>4.5</v>
      </c>
      <c r="Q163" s="22">
        <f t="shared" si="25"/>
        <v>6</v>
      </c>
      <c r="R163" s="22">
        <f t="shared" si="25"/>
        <v>6</v>
      </c>
      <c r="S163" s="22">
        <f t="shared" si="25"/>
        <v>2.6999999999999997</v>
      </c>
      <c r="T163" s="22">
        <f t="shared" si="25"/>
        <v>2.6999999999999997</v>
      </c>
      <c r="U163" s="22">
        <f t="shared" si="25"/>
        <v>4.5</v>
      </c>
      <c r="V163" s="22">
        <f t="shared" si="25"/>
        <v>6</v>
      </c>
      <c r="W163" s="22">
        <f t="shared" si="25"/>
        <v>4.5</v>
      </c>
      <c r="X163" s="22">
        <f t="shared" si="25"/>
        <v>3</v>
      </c>
      <c r="Y163" s="22">
        <f t="shared" si="17"/>
        <v>1.5</v>
      </c>
      <c r="Z163" s="22">
        <f t="shared" si="17"/>
        <v>3</v>
      </c>
    </row>
    <row r="164" spans="1:26" x14ac:dyDescent="0.3">
      <c r="A164" s="22">
        <f t="shared" si="20"/>
        <v>172.6875</v>
      </c>
      <c r="B164" s="22">
        <f t="shared" si="21"/>
        <v>34.537500000000001</v>
      </c>
      <c r="C164" s="22">
        <f t="shared" si="22"/>
        <v>138.15</v>
      </c>
      <c r="D164" s="24" t="s">
        <v>105</v>
      </c>
      <c r="E164" s="24" t="s">
        <v>437</v>
      </c>
      <c r="F164" s="17" t="s">
        <v>169</v>
      </c>
      <c r="G164" s="22">
        <v>45</v>
      </c>
      <c r="H164" s="16">
        <v>0.18</v>
      </c>
      <c r="I164" s="22">
        <f t="shared" si="23"/>
        <v>8.1</v>
      </c>
      <c r="J164" s="22">
        <f t="shared" si="24"/>
        <v>53.1</v>
      </c>
      <c r="K164" s="22">
        <f t="shared" si="25"/>
        <v>4.5</v>
      </c>
      <c r="L164" s="22">
        <f t="shared" si="25"/>
        <v>2.6999999999999997</v>
      </c>
      <c r="M164" s="22">
        <f t="shared" si="25"/>
        <v>2.6999999999999997</v>
      </c>
      <c r="N164" s="22">
        <f t="shared" si="25"/>
        <v>4.05</v>
      </c>
      <c r="O164" s="22">
        <f t="shared" si="25"/>
        <v>4.5</v>
      </c>
      <c r="P164" s="22">
        <f t="shared" si="25"/>
        <v>6.75</v>
      </c>
      <c r="Q164" s="22">
        <f t="shared" si="25"/>
        <v>9</v>
      </c>
      <c r="R164" s="22">
        <f t="shared" si="25"/>
        <v>9</v>
      </c>
      <c r="S164" s="22">
        <f t="shared" si="25"/>
        <v>4.05</v>
      </c>
      <c r="T164" s="22">
        <f t="shared" si="25"/>
        <v>4.05</v>
      </c>
      <c r="U164" s="22">
        <f t="shared" si="25"/>
        <v>6.75</v>
      </c>
      <c r="V164" s="22">
        <f t="shared" si="25"/>
        <v>9</v>
      </c>
      <c r="W164" s="22">
        <f t="shared" si="25"/>
        <v>6.75</v>
      </c>
      <c r="X164" s="22">
        <f t="shared" si="25"/>
        <v>4.5</v>
      </c>
      <c r="Y164" s="22">
        <f t="shared" si="17"/>
        <v>2.25</v>
      </c>
      <c r="Z164" s="22">
        <f t="shared" si="17"/>
        <v>4.5</v>
      </c>
    </row>
    <row r="165" spans="1:26" x14ac:dyDescent="0.3">
      <c r="A165" s="22">
        <f t="shared" si="20"/>
        <v>115.125</v>
      </c>
      <c r="B165" s="22">
        <f t="shared" si="21"/>
        <v>23.024999999999999</v>
      </c>
      <c r="C165" s="22">
        <f t="shared" si="22"/>
        <v>92.1</v>
      </c>
      <c r="D165" s="24" t="s">
        <v>105</v>
      </c>
      <c r="E165" s="24" t="s">
        <v>437</v>
      </c>
      <c r="F165" s="17" t="s">
        <v>170</v>
      </c>
      <c r="G165" s="22">
        <v>30</v>
      </c>
      <c r="H165" s="16">
        <v>0.18</v>
      </c>
      <c r="I165" s="22">
        <f t="shared" si="23"/>
        <v>5.3999999999999995</v>
      </c>
      <c r="J165" s="22">
        <f t="shared" si="24"/>
        <v>35.4</v>
      </c>
      <c r="K165" s="22">
        <f t="shared" si="25"/>
        <v>3</v>
      </c>
      <c r="L165" s="22">
        <f t="shared" si="25"/>
        <v>1.7999999999999998</v>
      </c>
      <c r="M165" s="22">
        <f t="shared" si="25"/>
        <v>1.7999999999999998</v>
      </c>
      <c r="N165" s="22">
        <f t="shared" si="25"/>
        <v>2.6999999999999997</v>
      </c>
      <c r="O165" s="22">
        <f t="shared" si="25"/>
        <v>3</v>
      </c>
      <c r="P165" s="22">
        <f t="shared" si="25"/>
        <v>4.5</v>
      </c>
      <c r="Q165" s="22">
        <f t="shared" si="25"/>
        <v>6</v>
      </c>
      <c r="R165" s="22">
        <f t="shared" si="25"/>
        <v>6</v>
      </c>
      <c r="S165" s="22">
        <f t="shared" si="25"/>
        <v>2.6999999999999997</v>
      </c>
      <c r="T165" s="22">
        <f t="shared" si="25"/>
        <v>2.6999999999999997</v>
      </c>
      <c r="U165" s="22">
        <f t="shared" si="25"/>
        <v>4.5</v>
      </c>
      <c r="V165" s="22">
        <f t="shared" si="25"/>
        <v>6</v>
      </c>
      <c r="W165" s="22">
        <f t="shared" si="25"/>
        <v>4.5</v>
      </c>
      <c r="X165" s="22">
        <f t="shared" si="25"/>
        <v>3</v>
      </c>
      <c r="Y165" s="22">
        <f t="shared" si="17"/>
        <v>1.5</v>
      </c>
      <c r="Z165" s="22">
        <f t="shared" si="17"/>
        <v>3</v>
      </c>
    </row>
    <row r="166" spans="1:26" x14ac:dyDescent="0.3">
      <c r="A166" s="22">
        <f t="shared" si="20"/>
        <v>268.62500000000006</v>
      </c>
      <c r="B166" s="22">
        <f t="shared" si="21"/>
        <v>53.725000000000009</v>
      </c>
      <c r="C166" s="22">
        <f t="shared" si="22"/>
        <v>214.90000000000003</v>
      </c>
      <c r="D166" s="24" t="s">
        <v>105</v>
      </c>
      <c r="E166" s="24" t="s">
        <v>437</v>
      </c>
      <c r="F166" s="17" t="s">
        <v>171</v>
      </c>
      <c r="G166" s="22">
        <v>70</v>
      </c>
      <c r="H166" s="16">
        <v>0.18</v>
      </c>
      <c r="I166" s="22">
        <f t="shared" si="23"/>
        <v>12.6</v>
      </c>
      <c r="J166" s="22">
        <f t="shared" si="24"/>
        <v>82.6</v>
      </c>
      <c r="K166" s="22">
        <f t="shared" si="25"/>
        <v>7</v>
      </c>
      <c r="L166" s="22">
        <f t="shared" si="25"/>
        <v>4.2</v>
      </c>
      <c r="M166" s="22">
        <f t="shared" si="25"/>
        <v>4.2</v>
      </c>
      <c r="N166" s="22">
        <f t="shared" si="25"/>
        <v>6.3</v>
      </c>
      <c r="O166" s="22">
        <f t="shared" si="25"/>
        <v>7</v>
      </c>
      <c r="P166" s="22">
        <f t="shared" si="25"/>
        <v>10.5</v>
      </c>
      <c r="Q166" s="22">
        <f t="shared" si="25"/>
        <v>14</v>
      </c>
      <c r="R166" s="22">
        <f t="shared" si="25"/>
        <v>14</v>
      </c>
      <c r="S166" s="22">
        <f t="shared" si="25"/>
        <v>6.3</v>
      </c>
      <c r="T166" s="22">
        <f t="shared" si="25"/>
        <v>6.3</v>
      </c>
      <c r="U166" s="22">
        <f t="shared" si="25"/>
        <v>10.5</v>
      </c>
      <c r="V166" s="22">
        <f t="shared" si="25"/>
        <v>14</v>
      </c>
      <c r="W166" s="22">
        <f t="shared" si="25"/>
        <v>10.5</v>
      </c>
      <c r="X166" s="22">
        <f t="shared" si="25"/>
        <v>7</v>
      </c>
      <c r="Y166" s="22">
        <f t="shared" si="17"/>
        <v>3.5</v>
      </c>
      <c r="Z166" s="22">
        <f t="shared" si="17"/>
        <v>7</v>
      </c>
    </row>
    <row r="167" spans="1:26" x14ac:dyDescent="0.3">
      <c r="A167" s="22">
        <f t="shared" si="20"/>
        <v>65.237499999999997</v>
      </c>
      <c r="B167" s="22">
        <f t="shared" si="21"/>
        <v>13.047499999999999</v>
      </c>
      <c r="C167" s="22">
        <f t="shared" si="22"/>
        <v>52.19</v>
      </c>
      <c r="D167" s="24" t="s">
        <v>105</v>
      </c>
      <c r="E167" s="24" t="s">
        <v>437</v>
      </c>
      <c r="F167" s="17" t="s">
        <v>172</v>
      </c>
      <c r="G167" s="22">
        <v>17</v>
      </c>
      <c r="H167" s="16">
        <v>0.18</v>
      </c>
      <c r="I167" s="22">
        <f t="shared" si="23"/>
        <v>3.06</v>
      </c>
      <c r="J167" s="22">
        <f t="shared" si="24"/>
        <v>20.059999999999999</v>
      </c>
      <c r="K167" s="22">
        <f t="shared" si="25"/>
        <v>1.7000000000000002</v>
      </c>
      <c r="L167" s="22">
        <f t="shared" si="25"/>
        <v>1.02</v>
      </c>
      <c r="M167" s="22">
        <f t="shared" si="25"/>
        <v>1.02</v>
      </c>
      <c r="N167" s="22">
        <f t="shared" si="25"/>
        <v>1.53</v>
      </c>
      <c r="O167" s="22">
        <f t="shared" si="25"/>
        <v>1.7000000000000002</v>
      </c>
      <c r="P167" s="22">
        <f t="shared" si="25"/>
        <v>2.5499999999999998</v>
      </c>
      <c r="Q167" s="22">
        <f t="shared" si="25"/>
        <v>3.4000000000000004</v>
      </c>
      <c r="R167" s="22">
        <f t="shared" si="25"/>
        <v>3.4000000000000004</v>
      </c>
      <c r="S167" s="22">
        <f t="shared" si="25"/>
        <v>1.53</v>
      </c>
      <c r="T167" s="22">
        <f t="shared" si="25"/>
        <v>1.53</v>
      </c>
      <c r="U167" s="22">
        <f t="shared" si="25"/>
        <v>2.5499999999999998</v>
      </c>
      <c r="V167" s="22">
        <f t="shared" si="25"/>
        <v>3.4000000000000004</v>
      </c>
      <c r="W167" s="22">
        <f t="shared" si="25"/>
        <v>2.5499999999999998</v>
      </c>
      <c r="X167" s="22">
        <f t="shared" si="25"/>
        <v>1.7000000000000002</v>
      </c>
      <c r="Y167" s="22">
        <f t="shared" si="17"/>
        <v>0.85000000000000009</v>
      </c>
      <c r="Z167" s="22">
        <f t="shared" si="17"/>
        <v>1.7000000000000002</v>
      </c>
    </row>
    <row r="168" spans="1:26" x14ac:dyDescent="0.3">
      <c r="A168" s="22">
        <f t="shared" si="20"/>
        <v>69.074999999999989</v>
      </c>
      <c r="B168" s="22">
        <f t="shared" si="21"/>
        <v>13.814999999999998</v>
      </c>
      <c r="C168" s="22">
        <f t="shared" si="22"/>
        <v>55.259999999999991</v>
      </c>
      <c r="D168" s="24" t="s">
        <v>105</v>
      </c>
      <c r="E168" s="24" t="s">
        <v>437</v>
      </c>
      <c r="F168" s="17" t="s">
        <v>173</v>
      </c>
      <c r="G168" s="22">
        <v>18</v>
      </c>
      <c r="H168" s="16">
        <v>0.18</v>
      </c>
      <c r="I168" s="22">
        <f t="shared" si="23"/>
        <v>3.2399999999999998</v>
      </c>
      <c r="J168" s="22">
        <f t="shared" si="24"/>
        <v>21.24</v>
      </c>
      <c r="K168" s="22">
        <f t="shared" si="25"/>
        <v>1.8</v>
      </c>
      <c r="L168" s="22">
        <f t="shared" si="25"/>
        <v>1.08</v>
      </c>
      <c r="M168" s="22">
        <f t="shared" si="25"/>
        <v>1.08</v>
      </c>
      <c r="N168" s="22">
        <f t="shared" si="25"/>
        <v>1.6199999999999999</v>
      </c>
      <c r="O168" s="22">
        <f t="shared" si="25"/>
        <v>1.8</v>
      </c>
      <c r="P168" s="22">
        <f t="shared" si="25"/>
        <v>2.6999999999999997</v>
      </c>
      <c r="Q168" s="22">
        <f t="shared" si="25"/>
        <v>3.6</v>
      </c>
      <c r="R168" s="22">
        <f t="shared" si="25"/>
        <v>3.6</v>
      </c>
      <c r="S168" s="22">
        <f t="shared" si="25"/>
        <v>1.6199999999999999</v>
      </c>
      <c r="T168" s="22">
        <f t="shared" si="25"/>
        <v>1.6199999999999999</v>
      </c>
      <c r="U168" s="22">
        <f t="shared" si="25"/>
        <v>2.6999999999999997</v>
      </c>
      <c r="V168" s="22">
        <f t="shared" si="25"/>
        <v>3.6</v>
      </c>
      <c r="W168" s="22">
        <f t="shared" si="25"/>
        <v>2.6999999999999997</v>
      </c>
      <c r="X168" s="22">
        <f t="shared" si="25"/>
        <v>1.8</v>
      </c>
      <c r="Y168" s="22">
        <f t="shared" si="17"/>
        <v>0.9</v>
      </c>
      <c r="Z168" s="22">
        <f t="shared" si="17"/>
        <v>1.8</v>
      </c>
    </row>
    <row r="169" spans="1:26" x14ac:dyDescent="0.3">
      <c r="A169" s="22">
        <f t="shared" si="20"/>
        <v>306.99999999999994</v>
      </c>
      <c r="B169" s="22">
        <f t="shared" si="21"/>
        <v>61.399999999999991</v>
      </c>
      <c r="C169" s="22">
        <f t="shared" si="22"/>
        <v>245.59999999999997</v>
      </c>
      <c r="D169" s="24" t="s">
        <v>105</v>
      </c>
      <c r="E169" s="24" t="s">
        <v>437</v>
      </c>
      <c r="F169" s="17" t="s">
        <v>174</v>
      </c>
      <c r="G169" s="22">
        <v>80</v>
      </c>
      <c r="H169" s="16">
        <v>0.18</v>
      </c>
      <c r="I169" s="22">
        <f t="shared" si="23"/>
        <v>14.399999999999999</v>
      </c>
      <c r="J169" s="22">
        <f t="shared" si="24"/>
        <v>94.4</v>
      </c>
      <c r="K169" s="22">
        <f t="shared" si="25"/>
        <v>8</v>
      </c>
      <c r="L169" s="22">
        <f t="shared" si="25"/>
        <v>4.8</v>
      </c>
      <c r="M169" s="22">
        <f t="shared" si="25"/>
        <v>4.8</v>
      </c>
      <c r="N169" s="22">
        <f t="shared" si="25"/>
        <v>7.1999999999999993</v>
      </c>
      <c r="O169" s="22">
        <f t="shared" si="25"/>
        <v>8</v>
      </c>
      <c r="P169" s="22">
        <f t="shared" si="25"/>
        <v>12</v>
      </c>
      <c r="Q169" s="22">
        <f t="shared" si="25"/>
        <v>16</v>
      </c>
      <c r="R169" s="22">
        <f t="shared" si="25"/>
        <v>16</v>
      </c>
      <c r="S169" s="22">
        <f t="shared" si="25"/>
        <v>7.1999999999999993</v>
      </c>
      <c r="T169" s="22">
        <f t="shared" si="25"/>
        <v>7.1999999999999993</v>
      </c>
      <c r="U169" s="22">
        <f t="shared" si="25"/>
        <v>12</v>
      </c>
      <c r="V169" s="22">
        <f t="shared" si="25"/>
        <v>16</v>
      </c>
      <c r="W169" s="22">
        <f t="shared" si="25"/>
        <v>12</v>
      </c>
      <c r="X169" s="22">
        <f t="shared" si="25"/>
        <v>8</v>
      </c>
      <c r="Y169" s="22">
        <f t="shared" si="17"/>
        <v>4</v>
      </c>
      <c r="Z169" s="22">
        <f t="shared" si="17"/>
        <v>8</v>
      </c>
    </row>
    <row r="170" spans="1:26" x14ac:dyDescent="0.3">
      <c r="A170" s="22">
        <f t="shared" si="20"/>
        <v>1112.875</v>
      </c>
      <c r="B170" s="22">
        <f t="shared" si="21"/>
        <v>222.57499999999999</v>
      </c>
      <c r="C170" s="22">
        <f t="shared" si="22"/>
        <v>890.3</v>
      </c>
      <c r="D170" s="24" t="s">
        <v>105</v>
      </c>
      <c r="E170" s="24" t="s">
        <v>437</v>
      </c>
      <c r="F170" s="17" t="s">
        <v>175</v>
      </c>
      <c r="G170" s="22">
        <v>290</v>
      </c>
      <c r="H170" s="16">
        <v>0.18</v>
      </c>
      <c r="I170" s="22">
        <f t="shared" si="23"/>
        <v>52.199999999999996</v>
      </c>
      <c r="J170" s="22">
        <f t="shared" si="24"/>
        <v>342.2</v>
      </c>
      <c r="K170" s="22">
        <f t="shared" si="25"/>
        <v>29</v>
      </c>
      <c r="L170" s="22">
        <f t="shared" si="25"/>
        <v>17.399999999999999</v>
      </c>
      <c r="M170" s="22">
        <f t="shared" si="25"/>
        <v>17.399999999999999</v>
      </c>
      <c r="N170" s="22">
        <f t="shared" si="25"/>
        <v>26.099999999999998</v>
      </c>
      <c r="O170" s="22">
        <f t="shared" si="25"/>
        <v>29</v>
      </c>
      <c r="P170" s="22">
        <f t="shared" si="25"/>
        <v>43.5</v>
      </c>
      <c r="Q170" s="22">
        <f t="shared" si="25"/>
        <v>58</v>
      </c>
      <c r="R170" s="22">
        <f t="shared" si="25"/>
        <v>58</v>
      </c>
      <c r="S170" s="22">
        <f t="shared" si="25"/>
        <v>26.099999999999998</v>
      </c>
      <c r="T170" s="22">
        <f t="shared" si="25"/>
        <v>26.099999999999998</v>
      </c>
      <c r="U170" s="22">
        <f t="shared" si="25"/>
        <v>43.5</v>
      </c>
      <c r="V170" s="22">
        <f t="shared" si="25"/>
        <v>58</v>
      </c>
      <c r="W170" s="22">
        <f t="shared" si="25"/>
        <v>43.5</v>
      </c>
      <c r="X170" s="22">
        <f t="shared" si="25"/>
        <v>29</v>
      </c>
      <c r="Y170" s="22">
        <f t="shared" si="17"/>
        <v>14.5</v>
      </c>
      <c r="Z170" s="22">
        <f t="shared" si="17"/>
        <v>29</v>
      </c>
    </row>
    <row r="171" spans="1:26" x14ac:dyDescent="0.3">
      <c r="A171" s="22">
        <f t="shared" si="20"/>
        <v>53.725000000000009</v>
      </c>
      <c r="B171" s="22">
        <f t="shared" si="21"/>
        <v>10.745000000000001</v>
      </c>
      <c r="C171" s="22">
        <f t="shared" si="22"/>
        <v>42.980000000000004</v>
      </c>
      <c r="D171" s="24" t="s">
        <v>105</v>
      </c>
      <c r="E171" s="24" t="s">
        <v>437</v>
      </c>
      <c r="F171" s="17" t="s">
        <v>176</v>
      </c>
      <c r="G171" s="22">
        <v>14</v>
      </c>
      <c r="H171" s="16">
        <v>0.18</v>
      </c>
      <c r="I171" s="22">
        <f t="shared" si="23"/>
        <v>2.52</v>
      </c>
      <c r="J171" s="22">
        <f t="shared" si="24"/>
        <v>16.52</v>
      </c>
      <c r="K171" s="22">
        <f t="shared" si="25"/>
        <v>1.4000000000000001</v>
      </c>
      <c r="L171" s="22">
        <f t="shared" si="25"/>
        <v>0.84</v>
      </c>
      <c r="M171" s="22">
        <f t="shared" si="25"/>
        <v>0.84</v>
      </c>
      <c r="N171" s="22">
        <f t="shared" si="25"/>
        <v>1.26</v>
      </c>
      <c r="O171" s="22">
        <f t="shared" si="25"/>
        <v>1.4000000000000001</v>
      </c>
      <c r="P171" s="22">
        <f t="shared" si="25"/>
        <v>2.1</v>
      </c>
      <c r="Q171" s="22">
        <f t="shared" si="25"/>
        <v>2.8000000000000003</v>
      </c>
      <c r="R171" s="22">
        <f t="shared" si="25"/>
        <v>2.8000000000000003</v>
      </c>
      <c r="S171" s="22">
        <f t="shared" si="25"/>
        <v>1.26</v>
      </c>
      <c r="T171" s="22">
        <f t="shared" si="25"/>
        <v>1.26</v>
      </c>
      <c r="U171" s="22">
        <f t="shared" si="25"/>
        <v>2.1</v>
      </c>
      <c r="V171" s="22">
        <f t="shared" si="25"/>
        <v>2.8000000000000003</v>
      </c>
      <c r="W171" s="22">
        <f t="shared" si="25"/>
        <v>2.1</v>
      </c>
      <c r="X171" s="22">
        <f t="shared" si="25"/>
        <v>1.4000000000000001</v>
      </c>
      <c r="Y171" s="22">
        <f t="shared" si="25"/>
        <v>0.70000000000000007</v>
      </c>
      <c r="Z171" s="22">
        <f t="shared" si="25"/>
        <v>1.4000000000000001</v>
      </c>
    </row>
    <row r="172" spans="1:26" x14ac:dyDescent="0.3">
      <c r="A172" s="22">
        <f t="shared" si="20"/>
        <v>57.5625</v>
      </c>
      <c r="B172" s="22">
        <f t="shared" si="21"/>
        <v>11.512499999999999</v>
      </c>
      <c r="C172" s="22">
        <f t="shared" si="22"/>
        <v>46.05</v>
      </c>
      <c r="D172" s="24" t="s">
        <v>105</v>
      </c>
      <c r="E172" s="24" t="s">
        <v>437</v>
      </c>
      <c r="F172" s="17" t="s">
        <v>177</v>
      </c>
      <c r="G172" s="22">
        <v>15</v>
      </c>
      <c r="H172" s="16">
        <v>0.18</v>
      </c>
      <c r="I172" s="22">
        <f t="shared" si="23"/>
        <v>2.6999999999999997</v>
      </c>
      <c r="J172" s="22">
        <f t="shared" si="24"/>
        <v>17.7</v>
      </c>
      <c r="K172" s="22">
        <f t="shared" si="25"/>
        <v>1.5</v>
      </c>
      <c r="L172" s="22">
        <f t="shared" ref="L172:Z203" si="26">$G172*L$1</f>
        <v>0.89999999999999991</v>
      </c>
      <c r="M172" s="22">
        <f t="shared" si="26"/>
        <v>0.89999999999999991</v>
      </c>
      <c r="N172" s="22">
        <f t="shared" si="26"/>
        <v>1.3499999999999999</v>
      </c>
      <c r="O172" s="22">
        <f t="shared" si="26"/>
        <v>1.5</v>
      </c>
      <c r="P172" s="22">
        <f t="shared" si="26"/>
        <v>2.25</v>
      </c>
      <c r="Q172" s="22">
        <f t="shared" si="26"/>
        <v>3</v>
      </c>
      <c r="R172" s="22">
        <f t="shared" si="26"/>
        <v>3</v>
      </c>
      <c r="S172" s="22">
        <f t="shared" si="26"/>
        <v>1.3499999999999999</v>
      </c>
      <c r="T172" s="22">
        <f t="shared" si="26"/>
        <v>1.3499999999999999</v>
      </c>
      <c r="U172" s="22">
        <f t="shared" si="26"/>
        <v>2.25</v>
      </c>
      <c r="V172" s="22">
        <f t="shared" si="26"/>
        <v>3</v>
      </c>
      <c r="W172" s="22">
        <f t="shared" si="26"/>
        <v>2.25</v>
      </c>
      <c r="X172" s="22">
        <f t="shared" si="26"/>
        <v>1.5</v>
      </c>
      <c r="Y172" s="22">
        <f t="shared" si="26"/>
        <v>0.75</v>
      </c>
      <c r="Z172" s="22">
        <f t="shared" si="26"/>
        <v>1.5</v>
      </c>
    </row>
    <row r="173" spans="1:26" x14ac:dyDescent="0.3">
      <c r="A173" s="22">
        <f t="shared" si="20"/>
        <v>34.537499999999994</v>
      </c>
      <c r="B173" s="22">
        <f t="shared" si="21"/>
        <v>6.9074999999999989</v>
      </c>
      <c r="C173" s="22">
        <f t="shared" si="22"/>
        <v>27.629999999999995</v>
      </c>
      <c r="D173" s="24" t="s">
        <v>105</v>
      </c>
      <c r="E173" s="24" t="s">
        <v>437</v>
      </c>
      <c r="F173" s="17" t="s">
        <v>178</v>
      </c>
      <c r="G173" s="22">
        <v>9</v>
      </c>
      <c r="H173" s="16">
        <v>0.18</v>
      </c>
      <c r="I173" s="22">
        <f t="shared" si="23"/>
        <v>1.6199999999999999</v>
      </c>
      <c r="J173" s="22">
        <f t="shared" si="24"/>
        <v>10.62</v>
      </c>
      <c r="K173" s="22">
        <f t="shared" ref="K173:Z236" si="27">$G173*K$1</f>
        <v>0.9</v>
      </c>
      <c r="L173" s="22">
        <f t="shared" si="26"/>
        <v>0.54</v>
      </c>
      <c r="M173" s="22">
        <f t="shared" si="26"/>
        <v>0.54</v>
      </c>
      <c r="N173" s="22">
        <f t="shared" si="26"/>
        <v>0.80999999999999994</v>
      </c>
      <c r="O173" s="22">
        <f t="shared" si="26"/>
        <v>0.9</v>
      </c>
      <c r="P173" s="22">
        <f t="shared" si="26"/>
        <v>1.3499999999999999</v>
      </c>
      <c r="Q173" s="22">
        <f t="shared" si="26"/>
        <v>1.8</v>
      </c>
      <c r="R173" s="22">
        <f t="shared" si="26"/>
        <v>1.8</v>
      </c>
      <c r="S173" s="22">
        <f t="shared" si="26"/>
        <v>0.80999999999999994</v>
      </c>
      <c r="T173" s="22">
        <f t="shared" si="26"/>
        <v>0.80999999999999994</v>
      </c>
      <c r="U173" s="22">
        <f t="shared" si="26"/>
        <v>1.3499999999999999</v>
      </c>
      <c r="V173" s="22">
        <f t="shared" si="26"/>
        <v>1.8</v>
      </c>
      <c r="W173" s="22">
        <f t="shared" si="26"/>
        <v>1.3499999999999999</v>
      </c>
      <c r="X173" s="22">
        <f t="shared" si="26"/>
        <v>0.9</v>
      </c>
      <c r="Y173" s="22">
        <f t="shared" si="26"/>
        <v>0.45</v>
      </c>
      <c r="Z173" s="22">
        <f t="shared" si="26"/>
        <v>0.9</v>
      </c>
    </row>
    <row r="174" spans="1:26" x14ac:dyDescent="0.3">
      <c r="A174" s="22">
        <f t="shared" si="20"/>
        <v>61.4</v>
      </c>
      <c r="B174" s="22">
        <f t="shared" si="21"/>
        <v>12.28</v>
      </c>
      <c r="C174" s="22">
        <f t="shared" si="22"/>
        <v>49.12</v>
      </c>
      <c r="D174" s="24" t="s">
        <v>105</v>
      </c>
      <c r="E174" s="24" t="s">
        <v>437</v>
      </c>
      <c r="F174" s="17" t="s">
        <v>179</v>
      </c>
      <c r="G174" s="22">
        <v>16</v>
      </c>
      <c r="H174" s="16">
        <v>0.18</v>
      </c>
      <c r="I174" s="22">
        <f t="shared" si="23"/>
        <v>2.88</v>
      </c>
      <c r="J174" s="22">
        <f t="shared" si="24"/>
        <v>18.88</v>
      </c>
      <c r="K174" s="22">
        <f t="shared" si="27"/>
        <v>1.6</v>
      </c>
      <c r="L174" s="22">
        <f t="shared" si="26"/>
        <v>0.96</v>
      </c>
      <c r="M174" s="22">
        <f t="shared" si="26"/>
        <v>0.96</v>
      </c>
      <c r="N174" s="22">
        <f t="shared" si="26"/>
        <v>1.44</v>
      </c>
      <c r="O174" s="22">
        <f t="shared" si="26"/>
        <v>1.6</v>
      </c>
      <c r="P174" s="22">
        <f t="shared" si="26"/>
        <v>2.4</v>
      </c>
      <c r="Q174" s="22">
        <f t="shared" si="26"/>
        <v>3.2</v>
      </c>
      <c r="R174" s="22">
        <f t="shared" si="26"/>
        <v>3.2</v>
      </c>
      <c r="S174" s="22">
        <f t="shared" si="26"/>
        <v>1.44</v>
      </c>
      <c r="T174" s="22">
        <f t="shared" si="26"/>
        <v>1.44</v>
      </c>
      <c r="U174" s="22">
        <f t="shared" si="26"/>
        <v>2.4</v>
      </c>
      <c r="V174" s="22">
        <f t="shared" si="26"/>
        <v>3.2</v>
      </c>
      <c r="W174" s="22">
        <f t="shared" si="26"/>
        <v>2.4</v>
      </c>
      <c r="X174" s="22">
        <f t="shared" si="26"/>
        <v>1.6</v>
      </c>
      <c r="Y174" s="22">
        <f t="shared" si="26"/>
        <v>0.8</v>
      </c>
      <c r="Z174" s="22">
        <f t="shared" si="26"/>
        <v>1.6</v>
      </c>
    </row>
    <row r="175" spans="1:26" x14ac:dyDescent="0.3">
      <c r="A175" s="22">
        <f t="shared" si="20"/>
        <v>148.83749999999998</v>
      </c>
      <c r="B175" s="22">
        <f t="shared" si="21"/>
        <v>29.767499999999995</v>
      </c>
      <c r="C175" s="22">
        <f t="shared" si="22"/>
        <v>119.06999999999998</v>
      </c>
      <c r="D175" s="24" t="s">
        <v>180</v>
      </c>
      <c r="E175" s="24" t="s">
        <v>437</v>
      </c>
      <c r="F175" s="17" t="s">
        <v>438</v>
      </c>
      <c r="G175" s="22">
        <v>40.5</v>
      </c>
      <c r="H175" s="16">
        <v>0.05</v>
      </c>
      <c r="I175" s="22">
        <f t="shared" si="23"/>
        <v>2.0249999999999999</v>
      </c>
      <c r="J175" s="22">
        <f t="shared" si="24"/>
        <v>42.524999999999999</v>
      </c>
      <c r="K175" s="22">
        <f t="shared" si="27"/>
        <v>4.05</v>
      </c>
      <c r="L175" s="22">
        <f t="shared" si="26"/>
        <v>2.4299999999999997</v>
      </c>
      <c r="M175" s="22">
        <f t="shared" si="26"/>
        <v>2.4299999999999997</v>
      </c>
      <c r="N175" s="22">
        <f t="shared" si="26"/>
        <v>3.645</v>
      </c>
      <c r="O175" s="22">
        <f t="shared" si="26"/>
        <v>4.05</v>
      </c>
      <c r="P175" s="22">
        <f t="shared" si="26"/>
        <v>6.0750000000000002</v>
      </c>
      <c r="Q175" s="22">
        <f t="shared" si="26"/>
        <v>8.1</v>
      </c>
      <c r="R175" s="22">
        <f t="shared" si="26"/>
        <v>8.1</v>
      </c>
      <c r="S175" s="22">
        <f t="shared" si="26"/>
        <v>3.645</v>
      </c>
      <c r="T175" s="22">
        <f t="shared" si="26"/>
        <v>3.645</v>
      </c>
      <c r="U175" s="22">
        <f t="shared" si="26"/>
        <v>6.0750000000000002</v>
      </c>
      <c r="V175" s="22">
        <f t="shared" si="26"/>
        <v>8.1</v>
      </c>
      <c r="W175" s="22">
        <f t="shared" si="26"/>
        <v>6.0750000000000002</v>
      </c>
      <c r="X175" s="22">
        <f t="shared" si="26"/>
        <v>4.05</v>
      </c>
      <c r="Y175" s="22">
        <f t="shared" si="26"/>
        <v>2.0249999999999999</v>
      </c>
      <c r="Z175" s="22">
        <f t="shared" si="26"/>
        <v>4.05</v>
      </c>
    </row>
    <row r="176" spans="1:26" x14ac:dyDescent="0.3">
      <c r="A176" s="22">
        <f t="shared" si="20"/>
        <v>148.83749999999998</v>
      </c>
      <c r="B176" s="22">
        <f t="shared" si="21"/>
        <v>29.767499999999995</v>
      </c>
      <c r="C176" s="22">
        <f t="shared" si="22"/>
        <v>119.06999999999998</v>
      </c>
      <c r="D176" s="24" t="s">
        <v>180</v>
      </c>
      <c r="E176" s="24" t="s">
        <v>437</v>
      </c>
      <c r="F176" s="17" t="s">
        <v>439</v>
      </c>
      <c r="G176" s="22">
        <v>40.5</v>
      </c>
      <c r="H176" s="16">
        <v>0.05</v>
      </c>
      <c r="I176" s="22">
        <f t="shared" si="23"/>
        <v>2.0249999999999999</v>
      </c>
      <c r="J176" s="22">
        <f t="shared" si="24"/>
        <v>42.524999999999999</v>
      </c>
      <c r="K176" s="22">
        <f t="shared" si="27"/>
        <v>4.05</v>
      </c>
      <c r="L176" s="22">
        <f t="shared" si="26"/>
        <v>2.4299999999999997</v>
      </c>
      <c r="M176" s="22">
        <f t="shared" si="26"/>
        <v>2.4299999999999997</v>
      </c>
      <c r="N176" s="22">
        <f t="shared" si="26"/>
        <v>3.645</v>
      </c>
      <c r="O176" s="22">
        <f t="shared" si="26"/>
        <v>4.05</v>
      </c>
      <c r="P176" s="22">
        <f t="shared" si="26"/>
        <v>6.0750000000000002</v>
      </c>
      <c r="Q176" s="22">
        <f t="shared" si="26"/>
        <v>8.1</v>
      </c>
      <c r="R176" s="22">
        <f t="shared" si="26"/>
        <v>8.1</v>
      </c>
      <c r="S176" s="22">
        <f t="shared" si="26"/>
        <v>3.645</v>
      </c>
      <c r="T176" s="22">
        <f t="shared" si="26"/>
        <v>3.645</v>
      </c>
      <c r="U176" s="22">
        <f t="shared" si="26"/>
        <v>6.0750000000000002</v>
      </c>
      <c r="V176" s="22">
        <f t="shared" si="26"/>
        <v>8.1</v>
      </c>
      <c r="W176" s="22">
        <f t="shared" si="26"/>
        <v>6.0750000000000002</v>
      </c>
      <c r="X176" s="22">
        <f t="shared" si="26"/>
        <v>4.05</v>
      </c>
      <c r="Y176" s="22">
        <f t="shared" si="26"/>
        <v>2.0249999999999999</v>
      </c>
      <c r="Z176" s="22">
        <f t="shared" si="26"/>
        <v>4.05</v>
      </c>
    </row>
    <row r="177" spans="1:26" x14ac:dyDescent="0.3">
      <c r="A177" s="22">
        <f t="shared" si="20"/>
        <v>148.83749999999998</v>
      </c>
      <c r="B177" s="22">
        <f t="shared" si="21"/>
        <v>29.767499999999995</v>
      </c>
      <c r="C177" s="22">
        <f t="shared" si="22"/>
        <v>119.06999999999998</v>
      </c>
      <c r="D177" s="24" t="s">
        <v>180</v>
      </c>
      <c r="E177" s="24" t="s">
        <v>437</v>
      </c>
      <c r="F177" s="17" t="s">
        <v>440</v>
      </c>
      <c r="G177" s="22">
        <v>40.5</v>
      </c>
      <c r="H177" s="16">
        <v>0.05</v>
      </c>
      <c r="I177" s="22">
        <f t="shared" si="23"/>
        <v>2.0249999999999999</v>
      </c>
      <c r="J177" s="22">
        <f t="shared" si="24"/>
        <v>42.524999999999999</v>
      </c>
      <c r="K177" s="22">
        <f t="shared" si="27"/>
        <v>4.05</v>
      </c>
      <c r="L177" s="22">
        <f t="shared" si="26"/>
        <v>2.4299999999999997</v>
      </c>
      <c r="M177" s="22">
        <f t="shared" si="26"/>
        <v>2.4299999999999997</v>
      </c>
      <c r="N177" s="22">
        <f t="shared" si="26"/>
        <v>3.645</v>
      </c>
      <c r="O177" s="22">
        <f t="shared" si="26"/>
        <v>4.05</v>
      </c>
      <c r="P177" s="22">
        <f t="shared" si="26"/>
        <v>6.0750000000000002</v>
      </c>
      <c r="Q177" s="22">
        <f t="shared" si="26"/>
        <v>8.1</v>
      </c>
      <c r="R177" s="22">
        <f t="shared" si="26"/>
        <v>8.1</v>
      </c>
      <c r="S177" s="22">
        <f t="shared" si="26"/>
        <v>3.645</v>
      </c>
      <c r="T177" s="22">
        <f t="shared" si="26"/>
        <v>3.645</v>
      </c>
      <c r="U177" s="22">
        <f t="shared" si="26"/>
        <v>6.0750000000000002</v>
      </c>
      <c r="V177" s="22">
        <f t="shared" si="26"/>
        <v>8.1</v>
      </c>
      <c r="W177" s="22">
        <f t="shared" si="26"/>
        <v>6.0750000000000002</v>
      </c>
      <c r="X177" s="22">
        <f t="shared" si="26"/>
        <v>4.05</v>
      </c>
      <c r="Y177" s="22">
        <f t="shared" si="26"/>
        <v>2.0249999999999999</v>
      </c>
      <c r="Z177" s="22">
        <f t="shared" si="26"/>
        <v>4.05</v>
      </c>
    </row>
    <row r="178" spans="1:26" x14ac:dyDescent="0.3">
      <c r="A178" s="22">
        <f t="shared" si="20"/>
        <v>148.83749999999998</v>
      </c>
      <c r="B178" s="22">
        <f t="shared" si="21"/>
        <v>29.767499999999995</v>
      </c>
      <c r="C178" s="22">
        <f t="shared" si="22"/>
        <v>119.06999999999998</v>
      </c>
      <c r="D178" s="24" t="s">
        <v>180</v>
      </c>
      <c r="E178" s="24" t="s">
        <v>437</v>
      </c>
      <c r="F178" s="17" t="s">
        <v>441</v>
      </c>
      <c r="G178" s="22">
        <v>40.5</v>
      </c>
      <c r="H178" s="16">
        <v>0.05</v>
      </c>
      <c r="I178" s="22">
        <f t="shared" si="23"/>
        <v>2.0249999999999999</v>
      </c>
      <c r="J178" s="22">
        <f t="shared" si="24"/>
        <v>42.524999999999999</v>
      </c>
      <c r="K178" s="22">
        <f t="shared" si="27"/>
        <v>4.05</v>
      </c>
      <c r="L178" s="22">
        <f t="shared" si="26"/>
        <v>2.4299999999999997</v>
      </c>
      <c r="M178" s="22">
        <f t="shared" si="26"/>
        <v>2.4299999999999997</v>
      </c>
      <c r="N178" s="22">
        <f t="shared" si="26"/>
        <v>3.645</v>
      </c>
      <c r="O178" s="22">
        <f t="shared" si="26"/>
        <v>4.05</v>
      </c>
      <c r="P178" s="22">
        <f t="shared" si="26"/>
        <v>6.0750000000000002</v>
      </c>
      <c r="Q178" s="22">
        <f t="shared" si="26"/>
        <v>8.1</v>
      </c>
      <c r="R178" s="22">
        <f t="shared" si="26"/>
        <v>8.1</v>
      </c>
      <c r="S178" s="22">
        <f t="shared" si="26"/>
        <v>3.645</v>
      </c>
      <c r="T178" s="22">
        <f t="shared" si="26"/>
        <v>3.645</v>
      </c>
      <c r="U178" s="22">
        <f t="shared" si="26"/>
        <v>6.0750000000000002</v>
      </c>
      <c r="V178" s="22">
        <f t="shared" si="26"/>
        <v>8.1</v>
      </c>
      <c r="W178" s="22">
        <f t="shared" si="26"/>
        <v>6.0750000000000002</v>
      </c>
      <c r="X178" s="22">
        <f t="shared" si="26"/>
        <v>4.05</v>
      </c>
      <c r="Y178" s="22">
        <f t="shared" si="26"/>
        <v>2.0249999999999999</v>
      </c>
      <c r="Z178" s="22">
        <f t="shared" si="26"/>
        <v>4.05</v>
      </c>
    </row>
    <row r="179" spans="1:26" x14ac:dyDescent="0.3">
      <c r="A179" s="22">
        <f t="shared" si="20"/>
        <v>192.93749999999994</v>
      </c>
      <c r="B179" s="22">
        <f t="shared" si="21"/>
        <v>38.587499999999991</v>
      </c>
      <c r="C179" s="22">
        <f t="shared" si="22"/>
        <v>154.34999999999997</v>
      </c>
      <c r="D179" s="24" t="s">
        <v>180</v>
      </c>
      <c r="E179" s="24" t="s">
        <v>437</v>
      </c>
      <c r="F179" s="17" t="s">
        <v>442</v>
      </c>
      <c r="G179" s="22">
        <v>52.5</v>
      </c>
      <c r="H179" s="16">
        <v>0.05</v>
      </c>
      <c r="I179" s="22">
        <f t="shared" si="23"/>
        <v>2.625</v>
      </c>
      <c r="J179" s="22">
        <f t="shared" si="24"/>
        <v>55.125</v>
      </c>
      <c r="K179" s="22">
        <f t="shared" si="27"/>
        <v>5.25</v>
      </c>
      <c r="L179" s="22">
        <f t="shared" si="26"/>
        <v>3.15</v>
      </c>
      <c r="M179" s="22">
        <f t="shared" si="26"/>
        <v>3.15</v>
      </c>
      <c r="N179" s="22">
        <f t="shared" si="26"/>
        <v>4.7249999999999996</v>
      </c>
      <c r="O179" s="22">
        <f t="shared" si="26"/>
        <v>5.25</v>
      </c>
      <c r="P179" s="22">
        <f t="shared" si="26"/>
        <v>7.875</v>
      </c>
      <c r="Q179" s="22">
        <f t="shared" si="26"/>
        <v>10.5</v>
      </c>
      <c r="R179" s="22">
        <f t="shared" si="26"/>
        <v>10.5</v>
      </c>
      <c r="S179" s="22">
        <f t="shared" si="26"/>
        <v>4.7249999999999996</v>
      </c>
      <c r="T179" s="22">
        <f t="shared" si="26"/>
        <v>4.7249999999999996</v>
      </c>
      <c r="U179" s="22">
        <f t="shared" si="26"/>
        <v>7.875</v>
      </c>
      <c r="V179" s="22">
        <f t="shared" si="26"/>
        <v>10.5</v>
      </c>
      <c r="W179" s="22">
        <f t="shared" si="26"/>
        <v>7.875</v>
      </c>
      <c r="X179" s="22">
        <f t="shared" si="26"/>
        <v>5.25</v>
      </c>
      <c r="Y179" s="22">
        <f t="shared" si="26"/>
        <v>2.625</v>
      </c>
      <c r="Z179" s="22">
        <f t="shared" si="26"/>
        <v>5.25</v>
      </c>
    </row>
    <row r="180" spans="1:26" x14ac:dyDescent="0.3">
      <c r="A180" s="22">
        <f t="shared" si="20"/>
        <v>148.83749999999998</v>
      </c>
      <c r="B180" s="22">
        <f t="shared" si="21"/>
        <v>29.767499999999995</v>
      </c>
      <c r="C180" s="22">
        <f t="shared" si="22"/>
        <v>119.06999999999998</v>
      </c>
      <c r="D180" s="24" t="s">
        <v>180</v>
      </c>
      <c r="E180" s="24" t="s">
        <v>437</v>
      </c>
      <c r="F180" s="17" t="s">
        <v>443</v>
      </c>
      <c r="G180" s="22">
        <v>40.5</v>
      </c>
      <c r="H180" s="16">
        <v>0.05</v>
      </c>
      <c r="I180" s="22">
        <f t="shared" si="23"/>
        <v>2.0249999999999999</v>
      </c>
      <c r="J180" s="22">
        <f t="shared" si="24"/>
        <v>42.524999999999999</v>
      </c>
      <c r="K180" s="22">
        <f t="shared" si="27"/>
        <v>4.05</v>
      </c>
      <c r="L180" s="22">
        <f t="shared" si="26"/>
        <v>2.4299999999999997</v>
      </c>
      <c r="M180" s="22">
        <f t="shared" si="26"/>
        <v>2.4299999999999997</v>
      </c>
      <c r="N180" s="22">
        <f t="shared" si="26"/>
        <v>3.645</v>
      </c>
      <c r="O180" s="22">
        <f t="shared" si="26"/>
        <v>4.05</v>
      </c>
      <c r="P180" s="22">
        <f t="shared" si="26"/>
        <v>6.0750000000000002</v>
      </c>
      <c r="Q180" s="22">
        <f t="shared" si="26"/>
        <v>8.1</v>
      </c>
      <c r="R180" s="22">
        <f t="shared" si="26"/>
        <v>8.1</v>
      </c>
      <c r="S180" s="22">
        <f t="shared" si="26"/>
        <v>3.645</v>
      </c>
      <c r="T180" s="22">
        <f t="shared" si="26"/>
        <v>3.645</v>
      </c>
      <c r="U180" s="22">
        <f t="shared" si="26"/>
        <v>6.0750000000000002</v>
      </c>
      <c r="V180" s="22">
        <f t="shared" si="26"/>
        <v>8.1</v>
      </c>
      <c r="W180" s="22">
        <f t="shared" si="26"/>
        <v>6.0750000000000002</v>
      </c>
      <c r="X180" s="22">
        <f t="shared" si="26"/>
        <v>4.05</v>
      </c>
      <c r="Y180" s="22">
        <f t="shared" si="26"/>
        <v>2.0249999999999999</v>
      </c>
      <c r="Z180" s="22">
        <f t="shared" si="26"/>
        <v>4.05</v>
      </c>
    </row>
    <row r="181" spans="1:26" x14ac:dyDescent="0.3">
      <c r="A181" s="22">
        <f t="shared" si="20"/>
        <v>148.83749999999998</v>
      </c>
      <c r="B181" s="22">
        <f t="shared" si="21"/>
        <v>29.767499999999995</v>
      </c>
      <c r="C181" s="22">
        <f t="shared" si="22"/>
        <v>119.06999999999998</v>
      </c>
      <c r="D181" s="24" t="s">
        <v>180</v>
      </c>
      <c r="E181" s="24" t="s">
        <v>437</v>
      </c>
      <c r="F181" s="17" t="s">
        <v>444</v>
      </c>
      <c r="G181" s="22">
        <v>40.5</v>
      </c>
      <c r="H181" s="16">
        <v>0.05</v>
      </c>
      <c r="I181" s="22">
        <f t="shared" si="23"/>
        <v>2.0249999999999999</v>
      </c>
      <c r="J181" s="22">
        <f t="shared" si="24"/>
        <v>42.524999999999999</v>
      </c>
      <c r="K181" s="22">
        <f t="shared" si="27"/>
        <v>4.05</v>
      </c>
      <c r="L181" s="22">
        <f t="shared" si="26"/>
        <v>2.4299999999999997</v>
      </c>
      <c r="M181" s="22">
        <f t="shared" si="26"/>
        <v>2.4299999999999997</v>
      </c>
      <c r="N181" s="22">
        <f t="shared" si="26"/>
        <v>3.645</v>
      </c>
      <c r="O181" s="22">
        <f t="shared" si="26"/>
        <v>4.05</v>
      </c>
      <c r="P181" s="22">
        <f t="shared" si="26"/>
        <v>6.0750000000000002</v>
      </c>
      <c r="Q181" s="22">
        <f t="shared" si="26"/>
        <v>8.1</v>
      </c>
      <c r="R181" s="22">
        <f t="shared" si="26"/>
        <v>8.1</v>
      </c>
      <c r="S181" s="22">
        <f t="shared" si="26"/>
        <v>3.645</v>
      </c>
      <c r="T181" s="22">
        <f t="shared" si="26"/>
        <v>3.645</v>
      </c>
      <c r="U181" s="22">
        <f t="shared" si="26"/>
        <v>6.0750000000000002</v>
      </c>
      <c r="V181" s="22">
        <f t="shared" si="26"/>
        <v>8.1</v>
      </c>
      <c r="W181" s="22">
        <f t="shared" si="26"/>
        <v>6.0750000000000002</v>
      </c>
      <c r="X181" s="22">
        <f t="shared" si="26"/>
        <v>4.05</v>
      </c>
      <c r="Y181" s="22">
        <f t="shared" si="26"/>
        <v>2.0249999999999999</v>
      </c>
      <c r="Z181" s="22">
        <f t="shared" si="26"/>
        <v>4.05</v>
      </c>
    </row>
    <row r="182" spans="1:26" x14ac:dyDescent="0.3">
      <c r="A182" s="22">
        <f t="shared" si="20"/>
        <v>54.022499999999987</v>
      </c>
      <c r="B182" s="22">
        <f t="shared" si="21"/>
        <v>10.804499999999997</v>
      </c>
      <c r="C182" s="22">
        <f t="shared" si="22"/>
        <v>43.217999999999989</v>
      </c>
      <c r="D182" s="24" t="s">
        <v>180</v>
      </c>
      <c r="E182" s="24" t="s">
        <v>437</v>
      </c>
      <c r="F182" s="17" t="s">
        <v>445</v>
      </c>
      <c r="G182" s="22">
        <v>14.7</v>
      </c>
      <c r="H182" s="16">
        <v>0.05</v>
      </c>
      <c r="I182" s="22">
        <f t="shared" si="23"/>
        <v>0.73499999999999999</v>
      </c>
      <c r="J182" s="22">
        <f t="shared" si="24"/>
        <v>15.434999999999999</v>
      </c>
      <c r="K182" s="22">
        <f t="shared" si="27"/>
        <v>1.47</v>
      </c>
      <c r="L182" s="22">
        <f t="shared" si="26"/>
        <v>0.8819999999999999</v>
      </c>
      <c r="M182" s="22">
        <f t="shared" si="26"/>
        <v>0.8819999999999999</v>
      </c>
      <c r="N182" s="22">
        <f t="shared" si="26"/>
        <v>1.323</v>
      </c>
      <c r="O182" s="22">
        <f t="shared" si="26"/>
        <v>1.47</v>
      </c>
      <c r="P182" s="22">
        <f t="shared" si="26"/>
        <v>2.2049999999999996</v>
      </c>
      <c r="Q182" s="22">
        <f t="shared" si="26"/>
        <v>2.94</v>
      </c>
      <c r="R182" s="22">
        <f t="shared" si="26"/>
        <v>2.94</v>
      </c>
      <c r="S182" s="22">
        <f t="shared" si="26"/>
        <v>1.323</v>
      </c>
      <c r="T182" s="22">
        <f t="shared" si="26"/>
        <v>1.323</v>
      </c>
      <c r="U182" s="22">
        <f t="shared" si="26"/>
        <v>2.2049999999999996</v>
      </c>
      <c r="V182" s="22">
        <f t="shared" si="26"/>
        <v>2.94</v>
      </c>
      <c r="W182" s="22">
        <f t="shared" si="26"/>
        <v>2.2049999999999996</v>
      </c>
      <c r="X182" s="22">
        <f t="shared" si="26"/>
        <v>1.47</v>
      </c>
      <c r="Y182" s="22">
        <f t="shared" si="26"/>
        <v>0.73499999999999999</v>
      </c>
      <c r="Z182" s="22">
        <f t="shared" si="26"/>
        <v>1.47</v>
      </c>
    </row>
    <row r="183" spans="1:26" x14ac:dyDescent="0.3">
      <c r="A183" s="22">
        <f t="shared" si="20"/>
        <v>54.022499999999987</v>
      </c>
      <c r="B183" s="22">
        <f t="shared" si="21"/>
        <v>10.804499999999997</v>
      </c>
      <c r="C183" s="22">
        <f t="shared" si="22"/>
        <v>43.217999999999989</v>
      </c>
      <c r="D183" s="24" t="s">
        <v>180</v>
      </c>
      <c r="E183" s="24" t="s">
        <v>437</v>
      </c>
      <c r="F183" s="17" t="s">
        <v>446</v>
      </c>
      <c r="G183" s="22">
        <v>14.7</v>
      </c>
      <c r="H183" s="16">
        <v>0.05</v>
      </c>
      <c r="I183" s="22">
        <f t="shared" si="23"/>
        <v>0.73499999999999999</v>
      </c>
      <c r="J183" s="22">
        <f t="shared" si="24"/>
        <v>15.434999999999999</v>
      </c>
      <c r="K183" s="22">
        <f t="shared" si="27"/>
        <v>1.47</v>
      </c>
      <c r="L183" s="22">
        <f t="shared" si="26"/>
        <v>0.8819999999999999</v>
      </c>
      <c r="M183" s="22">
        <f t="shared" si="26"/>
        <v>0.8819999999999999</v>
      </c>
      <c r="N183" s="22">
        <f t="shared" si="26"/>
        <v>1.323</v>
      </c>
      <c r="O183" s="22">
        <f t="shared" si="26"/>
        <v>1.47</v>
      </c>
      <c r="P183" s="22">
        <f t="shared" si="26"/>
        <v>2.2049999999999996</v>
      </c>
      <c r="Q183" s="22">
        <f t="shared" si="26"/>
        <v>2.94</v>
      </c>
      <c r="R183" s="22">
        <f t="shared" si="26"/>
        <v>2.94</v>
      </c>
      <c r="S183" s="22">
        <f t="shared" si="26"/>
        <v>1.323</v>
      </c>
      <c r="T183" s="22">
        <f t="shared" si="26"/>
        <v>1.323</v>
      </c>
      <c r="U183" s="22">
        <f t="shared" si="26"/>
        <v>2.2049999999999996</v>
      </c>
      <c r="V183" s="22">
        <f t="shared" si="26"/>
        <v>2.94</v>
      </c>
      <c r="W183" s="22">
        <f t="shared" si="26"/>
        <v>2.2049999999999996</v>
      </c>
      <c r="X183" s="22">
        <f t="shared" si="26"/>
        <v>1.47</v>
      </c>
      <c r="Y183" s="22">
        <f t="shared" si="26"/>
        <v>0.73499999999999999</v>
      </c>
      <c r="Z183" s="22">
        <f t="shared" si="26"/>
        <v>1.47</v>
      </c>
    </row>
    <row r="184" spans="1:26" x14ac:dyDescent="0.3">
      <c r="A184" s="22">
        <f t="shared" si="20"/>
        <v>54.022499999999987</v>
      </c>
      <c r="B184" s="22">
        <f t="shared" si="21"/>
        <v>10.804499999999997</v>
      </c>
      <c r="C184" s="22">
        <f t="shared" si="22"/>
        <v>43.217999999999989</v>
      </c>
      <c r="D184" s="24" t="s">
        <v>180</v>
      </c>
      <c r="E184" s="24" t="s">
        <v>437</v>
      </c>
      <c r="F184" s="17" t="s">
        <v>447</v>
      </c>
      <c r="G184" s="22">
        <v>14.7</v>
      </c>
      <c r="H184" s="16">
        <v>0.05</v>
      </c>
      <c r="I184" s="22">
        <f t="shared" si="23"/>
        <v>0.73499999999999999</v>
      </c>
      <c r="J184" s="22">
        <f t="shared" si="24"/>
        <v>15.434999999999999</v>
      </c>
      <c r="K184" s="22">
        <f t="shared" si="27"/>
        <v>1.47</v>
      </c>
      <c r="L184" s="22">
        <f t="shared" si="26"/>
        <v>0.8819999999999999</v>
      </c>
      <c r="M184" s="22">
        <f t="shared" si="26"/>
        <v>0.8819999999999999</v>
      </c>
      <c r="N184" s="22">
        <f t="shared" si="26"/>
        <v>1.323</v>
      </c>
      <c r="O184" s="22">
        <f t="shared" si="26"/>
        <v>1.47</v>
      </c>
      <c r="P184" s="22">
        <f t="shared" si="26"/>
        <v>2.2049999999999996</v>
      </c>
      <c r="Q184" s="22">
        <f t="shared" si="26"/>
        <v>2.94</v>
      </c>
      <c r="R184" s="22">
        <f t="shared" si="26"/>
        <v>2.94</v>
      </c>
      <c r="S184" s="22">
        <f t="shared" si="26"/>
        <v>1.323</v>
      </c>
      <c r="T184" s="22">
        <f t="shared" si="26"/>
        <v>1.323</v>
      </c>
      <c r="U184" s="22">
        <f t="shared" si="26"/>
        <v>2.2049999999999996</v>
      </c>
      <c r="V184" s="22">
        <f t="shared" si="26"/>
        <v>2.94</v>
      </c>
      <c r="W184" s="22">
        <f t="shared" si="26"/>
        <v>2.2049999999999996</v>
      </c>
      <c r="X184" s="22">
        <f t="shared" si="26"/>
        <v>1.47</v>
      </c>
      <c r="Y184" s="22">
        <f t="shared" si="26"/>
        <v>0.73499999999999999</v>
      </c>
      <c r="Z184" s="22">
        <f t="shared" si="26"/>
        <v>1.47</v>
      </c>
    </row>
    <row r="185" spans="1:26" x14ac:dyDescent="0.3">
      <c r="A185" s="22">
        <f t="shared" si="20"/>
        <v>54.022499999999987</v>
      </c>
      <c r="B185" s="22">
        <f t="shared" si="21"/>
        <v>10.804499999999997</v>
      </c>
      <c r="C185" s="22">
        <f t="shared" si="22"/>
        <v>43.217999999999989</v>
      </c>
      <c r="D185" s="24" t="s">
        <v>180</v>
      </c>
      <c r="E185" s="24" t="s">
        <v>437</v>
      </c>
      <c r="F185" s="17" t="s">
        <v>448</v>
      </c>
      <c r="G185" s="22">
        <v>14.7</v>
      </c>
      <c r="H185" s="16">
        <v>0.05</v>
      </c>
      <c r="I185" s="22">
        <f t="shared" si="23"/>
        <v>0.73499999999999999</v>
      </c>
      <c r="J185" s="22">
        <f t="shared" si="24"/>
        <v>15.434999999999999</v>
      </c>
      <c r="K185" s="22">
        <f t="shared" si="27"/>
        <v>1.47</v>
      </c>
      <c r="L185" s="22">
        <f t="shared" si="26"/>
        <v>0.8819999999999999</v>
      </c>
      <c r="M185" s="22">
        <f t="shared" si="26"/>
        <v>0.8819999999999999</v>
      </c>
      <c r="N185" s="22">
        <f t="shared" si="26"/>
        <v>1.323</v>
      </c>
      <c r="O185" s="22">
        <f t="shared" si="26"/>
        <v>1.47</v>
      </c>
      <c r="P185" s="22">
        <f t="shared" si="26"/>
        <v>2.2049999999999996</v>
      </c>
      <c r="Q185" s="22">
        <f t="shared" si="26"/>
        <v>2.94</v>
      </c>
      <c r="R185" s="22">
        <f t="shared" si="26"/>
        <v>2.94</v>
      </c>
      <c r="S185" s="22">
        <f t="shared" si="26"/>
        <v>1.323</v>
      </c>
      <c r="T185" s="22">
        <f t="shared" si="26"/>
        <v>1.323</v>
      </c>
      <c r="U185" s="22">
        <f t="shared" si="26"/>
        <v>2.2049999999999996</v>
      </c>
      <c r="V185" s="22">
        <f t="shared" si="26"/>
        <v>2.94</v>
      </c>
      <c r="W185" s="22">
        <f t="shared" si="26"/>
        <v>2.2049999999999996</v>
      </c>
      <c r="X185" s="22">
        <f t="shared" si="26"/>
        <v>1.47</v>
      </c>
      <c r="Y185" s="22">
        <f t="shared" si="26"/>
        <v>0.73499999999999999</v>
      </c>
      <c r="Z185" s="22">
        <f t="shared" si="26"/>
        <v>1.47</v>
      </c>
    </row>
    <row r="186" spans="1:26" x14ac:dyDescent="0.3">
      <c r="A186" s="22">
        <f t="shared" si="20"/>
        <v>54.022499999999987</v>
      </c>
      <c r="B186" s="22">
        <f t="shared" si="21"/>
        <v>10.804499999999997</v>
      </c>
      <c r="C186" s="22">
        <f t="shared" si="22"/>
        <v>43.217999999999989</v>
      </c>
      <c r="D186" s="24" t="s">
        <v>180</v>
      </c>
      <c r="E186" s="24" t="s">
        <v>437</v>
      </c>
      <c r="F186" s="17" t="s">
        <v>449</v>
      </c>
      <c r="G186" s="22">
        <v>14.7</v>
      </c>
      <c r="H186" s="16">
        <v>0.05</v>
      </c>
      <c r="I186" s="22">
        <f t="shared" si="23"/>
        <v>0.73499999999999999</v>
      </c>
      <c r="J186" s="22">
        <f t="shared" si="24"/>
        <v>15.434999999999999</v>
      </c>
      <c r="K186" s="22">
        <f t="shared" si="27"/>
        <v>1.47</v>
      </c>
      <c r="L186" s="22">
        <f t="shared" si="26"/>
        <v>0.8819999999999999</v>
      </c>
      <c r="M186" s="22">
        <f t="shared" si="26"/>
        <v>0.8819999999999999</v>
      </c>
      <c r="N186" s="22">
        <f t="shared" si="26"/>
        <v>1.323</v>
      </c>
      <c r="O186" s="22">
        <f t="shared" si="26"/>
        <v>1.47</v>
      </c>
      <c r="P186" s="22">
        <f t="shared" si="26"/>
        <v>2.2049999999999996</v>
      </c>
      <c r="Q186" s="22">
        <f t="shared" si="26"/>
        <v>2.94</v>
      </c>
      <c r="R186" s="22">
        <f t="shared" si="26"/>
        <v>2.94</v>
      </c>
      <c r="S186" s="22">
        <f t="shared" si="26"/>
        <v>1.323</v>
      </c>
      <c r="T186" s="22">
        <f t="shared" si="26"/>
        <v>1.323</v>
      </c>
      <c r="U186" s="22">
        <f t="shared" si="26"/>
        <v>2.2049999999999996</v>
      </c>
      <c r="V186" s="22">
        <f t="shared" si="26"/>
        <v>2.94</v>
      </c>
      <c r="W186" s="22">
        <f t="shared" si="26"/>
        <v>2.2049999999999996</v>
      </c>
      <c r="X186" s="22">
        <f t="shared" si="26"/>
        <v>1.47</v>
      </c>
      <c r="Y186" s="22">
        <f t="shared" si="26"/>
        <v>0.73499999999999999</v>
      </c>
      <c r="Z186" s="22">
        <f t="shared" si="26"/>
        <v>1.47</v>
      </c>
    </row>
    <row r="187" spans="1:26" x14ac:dyDescent="0.3">
      <c r="A187" s="22">
        <f t="shared" si="20"/>
        <v>137.8125</v>
      </c>
      <c r="B187" s="22">
        <f t="shared" si="21"/>
        <v>27.5625</v>
      </c>
      <c r="C187" s="22">
        <f t="shared" si="22"/>
        <v>110.25</v>
      </c>
      <c r="D187" s="24" t="s">
        <v>180</v>
      </c>
      <c r="E187" s="24" t="s">
        <v>437</v>
      </c>
      <c r="F187" s="17" t="s">
        <v>450</v>
      </c>
      <c r="G187" s="22">
        <v>37.5</v>
      </c>
      <c r="H187" s="16">
        <v>0.05</v>
      </c>
      <c r="I187" s="22">
        <f t="shared" si="23"/>
        <v>1.875</v>
      </c>
      <c r="J187" s="22">
        <f t="shared" si="24"/>
        <v>39.375</v>
      </c>
      <c r="K187" s="22">
        <f t="shared" si="27"/>
        <v>3.75</v>
      </c>
      <c r="L187" s="22">
        <f t="shared" si="26"/>
        <v>2.25</v>
      </c>
      <c r="M187" s="22">
        <f t="shared" si="26"/>
        <v>2.25</v>
      </c>
      <c r="N187" s="22">
        <f t="shared" si="26"/>
        <v>3.375</v>
      </c>
      <c r="O187" s="22">
        <f t="shared" si="26"/>
        <v>3.75</v>
      </c>
      <c r="P187" s="22">
        <f t="shared" si="26"/>
        <v>5.625</v>
      </c>
      <c r="Q187" s="22">
        <f t="shared" si="26"/>
        <v>7.5</v>
      </c>
      <c r="R187" s="22">
        <f t="shared" si="26"/>
        <v>7.5</v>
      </c>
      <c r="S187" s="22">
        <f t="shared" si="26"/>
        <v>3.375</v>
      </c>
      <c r="T187" s="22">
        <f t="shared" si="26"/>
        <v>3.375</v>
      </c>
      <c r="U187" s="22">
        <f t="shared" si="26"/>
        <v>5.625</v>
      </c>
      <c r="V187" s="22">
        <f t="shared" si="26"/>
        <v>7.5</v>
      </c>
      <c r="W187" s="22">
        <f t="shared" si="26"/>
        <v>5.625</v>
      </c>
      <c r="X187" s="22">
        <f t="shared" si="26"/>
        <v>3.75</v>
      </c>
      <c r="Y187" s="22">
        <f t="shared" si="26"/>
        <v>1.875</v>
      </c>
      <c r="Z187" s="22">
        <f t="shared" si="26"/>
        <v>3.75</v>
      </c>
    </row>
    <row r="188" spans="1:26" x14ac:dyDescent="0.3">
      <c r="A188" s="22">
        <f t="shared" si="20"/>
        <v>74.969999999999985</v>
      </c>
      <c r="B188" s="22">
        <f t="shared" si="21"/>
        <v>14.993999999999998</v>
      </c>
      <c r="C188" s="22">
        <f t="shared" si="22"/>
        <v>59.975999999999992</v>
      </c>
      <c r="D188" s="24" t="s">
        <v>180</v>
      </c>
      <c r="E188" s="24" t="s">
        <v>437</v>
      </c>
      <c r="F188" s="17" t="s">
        <v>451</v>
      </c>
      <c r="G188" s="22">
        <v>20.399999999999999</v>
      </c>
      <c r="H188" s="16">
        <v>0.05</v>
      </c>
      <c r="I188" s="22">
        <f t="shared" si="23"/>
        <v>1.02</v>
      </c>
      <c r="J188" s="22">
        <f t="shared" si="24"/>
        <v>21.419999999999998</v>
      </c>
      <c r="K188" s="22">
        <f t="shared" si="27"/>
        <v>2.04</v>
      </c>
      <c r="L188" s="22">
        <f t="shared" si="26"/>
        <v>1.224</v>
      </c>
      <c r="M188" s="22">
        <f t="shared" si="26"/>
        <v>1.224</v>
      </c>
      <c r="N188" s="22">
        <f t="shared" si="26"/>
        <v>1.8359999999999999</v>
      </c>
      <c r="O188" s="22">
        <f t="shared" si="26"/>
        <v>2.04</v>
      </c>
      <c r="P188" s="22">
        <f t="shared" si="26"/>
        <v>3.0599999999999996</v>
      </c>
      <c r="Q188" s="22">
        <f t="shared" si="26"/>
        <v>4.08</v>
      </c>
      <c r="R188" s="22">
        <f t="shared" si="26"/>
        <v>4.08</v>
      </c>
      <c r="S188" s="22">
        <f t="shared" si="26"/>
        <v>1.8359999999999999</v>
      </c>
      <c r="T188" s="22">
        <f t="shared" si="26"/>
        <v>1.8359999999999999</v>
      </c>
      <c r="U188" s="22">
        <f t="shared" si="26"/>
        <v>3.0599999999999996</v>
      </c>
      <c r="V188" s="22">
        <f t="shared" si="26"/>
        <v>4.08</v>
      </c>
      <c r="W188" s="22">
        <f t="shared" si="26"/>
        <v>3.0599999999999996</v>
      </c>
      <c r="X188" s="22">
        <f t="shared" si="26"/>
        <v>2.04</v>
      </c>
      <c r="Y188" s="22">
        <f t="shared" si="26"/>
        <v>1.02</v>
      </c>
      <c r="Z188" s="22">
        <f t="shared" si="26"/>
        <v>2.04</v>
      </c>
    </row>
    <row r="189" spans="1:26" x14ac:dyDescent="0.3">
      <c r="A189" s="22">
        <f t="shared" si="20"/>
        <v>71.662500000000009</v>
      </c>
      <c r="B189" s="22">
        <f t="shared" si="21"/>
        <v>14.332500000000001</v>
      </c>
      <c r="C189" s="22">
        <f t="shared" si="22"/>
        <v>57.330000000000005</v>
      </c>
      <c r="D189" s="24" t="s">
        <v>180</v>
      </c>
      <c r="E189" s="24" t="s">
        <v>437</v>
      </c>
      <c r="F189" s="17" t="s">
        <v>452</v>
      </c>
      <c r="G189" s="22">
        <v>19.5</v>
      </c>
      <c r="H189" s="16">
        <v>0.05</v>
      </c>
      <c r="I189" s="22">
        <f t="shared" si="23"/>
        <v>0.97500000000000009</v>
      </c>
      <c r="J189" s="22">
        <f t="shared" si="24"/>
        <v>20.475000000000001</v>
      </c>
      <c r="K189" s="22">
        <f t="shared" si="27"/>
        <v>1.9500000000000002</v>
      </c>
      <c r="L189" s="22">
        <f t="shared" si="27"/>
        <v>1.17</v>
      </c>
      <c r="M189" s="22">
        <f t="shared" si="27"/>
        <v>1.17</v>
      </c>
      <c r="N189" s="22">
        <f t="shared" si="27"/>
        <v>1.7549999999999999</v>
      </c>
      <c r="O189" s="22">
        <f t="shared" si="27"/>
        <v>1.9500000000000002</v>
      </c>
      <c r="P189" s="22">
        <f t="shared" si="27"/>
        <v>2.9249999999999998</v>
      </c>
      <c r="Q189" s="22">
        <f t="shared" si="27"/>
        <v>3.9000000000000004</v>
      </c>
      <c r="R189" s="22">
        <f t="shared" si="27"/>
        <v>3.9000000000000004</v>
      </c>
      <c r="S189" s="22">
        <f t="shared" si="27"/>
        <v>1.7549999999999999</v>
      </c>
      <c r="T189" s="22">
        <f t="shared" si="27"/>
        <v>1.7549999999999999</v>
      </c>
      <c r="U189" s="22">
        <f t="shared" si="27"/>
        <v>2.9249999999999998</v>
      </c>
      <c r="V189" s="22">
        <f t="shared" si="27"/>
        <v>3.9000000000000004</v>
      </c>
      <c r="W189" s="22">
        <f t="shared" si="27"/>
        <v>2.9249999999999998</v>
      </c>
      <c r="X189" s="22">
        <f t="shared" si="27"/>
        <v>1.9500000000000002</v>
      </c>
      <c r="Y189" s="22">
        <f t="shared" si="27"/>
        <v>0.97500000000000009</v>
      </c>
      <c r="Z189" s="22">
        <f t="shared" si="27"/>
        <v>1.9500000000000002</v>
      </c>
    </row>
    <row r="190" spans="1:26" x14ac:dyDescent="0.3">
      <c r="A190" s="22">
        <f t="shared" si="20"/>
        <v>54.022499999999987</v>
      </c>
      <c r="B190" s="22">
        <f t="shared" si="21"/>
        <v>10.804499999999997</v>
      </c>
      <c r="C190" s="22">
        <f t="shared" si="22"/>
        <v>43.217999999999989</v>
      </c>
      <c r="D190" s="24" t="s">
        <v>180</v>
      </c>
      <c r="E190" s="24" t="s">
        <v>437</v>
      </c>
      <c r="F190" s="17" t="s">
        <v>453</v>
      </c>
      <c r="G190" s="22">
        <v>14.7</v>
      </c>
      <c r="H190" s="16">
        <v>0.05</v>
      </c>
      <c r="I190" s="22">
        <f t="shared" si="23"/>
        <v>0.73499999999999999</v>
      </c>
      <c r="J190" s="22">
        <f t="shared" si="24"/>
        <v>15.434999999999999</v>
      </c>
      <c r="K190" s="22">
        <f t="shared" si="27"/>
        <v>1.47</v>
      </c>
      <c r="L190" s="22">
        <f t="shared" si="27"/>
        <v>0.8819999999999999</v>
      </c>
      <c r="M190" s="22">
        <f t="shared" si="27"/>
        <v>0.8819999999999999</v>
      </c>
      <c r="N190" s="22">
        <f t="shared" si="27"/>
        <v>1.323</v>
      </c>
      <c r="O190" s="22">
        <f t="shared" si="27"/>
        <v>1.47</v>
      </c>
      <c r="P190" s="22">
        <f t="shared" si="27"/>
        <v>2.2049999999999996</v>
      </c>
      <c r="Q190" s="22">
        <f t="shared" si="27"/>
        <v>2.94</v>
      </c>
      <c r="R190" s="22">
        <f t="shared" si="27"/>
        <v>2.94</v>
      </c>
      <c r="S190" s="22">
        <f t="shared" si="27"/>
        <v>1.323</v>
      </c>
      <c r="T190" s="22">
        <f t="shared" si="27"/>
        <v>1.323</v>
      </c>
      <c r="U190" s="22">
        <f t="shared" si="27"/>
        <v>2.2049999999999996</v>
      </c>
      <c r="V190" s="22">
        <f t="shared" si="27"/>
        <v>2.94</v>
      </c>
      <c r="W190" s="22">
        <f t="shared" si="27"/>
        <v>2.2049999999999996</v>
      </c>
      <c r="X190" s="22">
        <f t="shared" si="27"/>
        <v>1.47</v>
      </c>
      <c r="Y190" s="22">
        <f t="shared" si="27"/>
        <v>0.73499999999999999</v>
      </c>
      <c r="Z190" s="22">
        <f t="shared" si="27"/>
        <v>1.47</v>
      </c>
    </row>
    <row r="191" spans="1:26" x14ac:dyDescent="0.3">
      <c r="A191" s="22">
        <f t="shared" si="20"/>
        <v>231.52499999999998</v>
      </c>
      <c r="B191" s="22">
        <f t="shared" si="21"/>
        <v>46.304999999999993</v>
      </c>
      <c r="C191" s="22">
        <f t="shared" si="22"/>
        <v>185.21999999999997</v>
      </c>
      <c r="D191" s="24" t="s">
        <v>180</v>
      </c>
      <c r="E191" s="24" t="s">
        <v>437</v>
      </c>
      <c r="F191" s="17" t="s">
        <v>454</v>
      </c>
      <c r="G191" s="22">
        <v>63</v>
      </c>
      <c r="H191" s="16">
        <v>0.05</v>
      </c>
      <c r="I191" s="22">
        <f t="shared" si="23"/>
        <v>3.1500000000000004</v>
      </c>
      <c r="J191" s="22">
        <f t="shared" si="24"/>
        <v>66.150000000000006</v>
      </c>
      <c r="K191" s="22">
        <f t="shared" si="27"/>
        <v>6.3000000000000007</v>
      </c>
      <c r="L191" s="22">
        <f t="shared" si="27"/>
        <v>3.78</v>
      </c>
      <c r="M191" s="22">
        <f t="shared" si="27"/>
        <v>3.78</v>
      </c>
      <c r="N191" s="22">
        <f t="shared" si="27"/>
        <v>5.67</v>
      </c>
      <c r="O191" s="22">
        <f t="shared" si="27"/>
        <v>6.3000000000000007</v>
      </c>
      <c r="P191" s="22">
        <f t="shared" si="27"/>
        <v>9.4499999999999993</v>
      </c>
      <c r="Q191" s="22">
        <f t="shared" si="27"/>
        <v>12.600000000000001</v>
      </c>
      <c r="R191" s="22">
        <f t="shared" si="27"/>
        <v>12.600000000000001</v>
      </c>
      <c r="S191" s="22">
        <f t="shared" si="27"/>
        <v>5.67</v>
      </c>
      <c r="T191" s="22">
        <f t="shared" si="27"/>
        <v>5.67</v>
      </c>
      <c r="U191" s="22">
        <f t="shared" si="27"/>
        <v>9.4499999999999993</v>
      </c>
      <c r="V191" s="22">
        <f t="shared" si="27"/>
        <v>12.600000000000001</v>
      </c>
      <c r="W191" s="22">
        <f t="shared" si="27"/>
        <v>9.4499999999999993</v>
      </c>
      <c r="X191" s="22">
        <f t="shared" si="27"/>
        <v>6.3000000000000007</v>
      </c>
      <c r="Y191" s="22">
        <f t="shared" si="27"/>
        <v>3.1500000000000004</v>
      </c>
      <c r="Z191" s="22">
        <f t="shared" si="27"/>
        <v>6.3000000000000007</v>
      </c>
    </row>
    <row r="192" spans="1:26" x14ac:dyDescent="0.3">
      <c r="A192" s="22">
        <f t="shared" si="20"/>
        <v>165.375</v>
      </c>
      <c r="B192" s="22">
        <f t="shared" si="21"/>
        <v>33.075000000000003</v>
      </c>
      <c r="C192" s="22">
        <f t="shared" si="22"/>
        <v>132.30000000000001</v>
      </c>
      <c r="D192" s="24" t="s">
        <v>180</v>
      </c>
      <c r="E192" s="24" t="s">
        <v>437</v>
      </c>
      <c r="F192" s="17" t="s">
        <v>455</v>
      </c>
      <c r="G192" s="22">
        <v>45</v>
      </c>
      <c r="H192" s="16">
        <v>0.05</v>
      </c>
      <c r="I192" s="22">
        <f t="shared" si="23"/>
        <v>2.25</v>
      </c>
      <c r="J192" s="22">
        <f t="shared" si="24"/>
        <v>47.25</v>
      </c>
      <c r="K192" s="22">
        <f t="shared" si="27"/>
        <v>4.5</v>
      </c>
      <c r="L192" s="22">
        <f t="shared" si="27"/>
        <v>2.6999999999999997</v>
      </c>
      <c r="M192" s="22">
        <f t="shared" si="27"/>
        <v>2.6999999999999997</v>
      </c>
      <c r="N192" s="22">
        <f t="shared" si="27"/>
        <v>4.05</v>
      </c>
      <c r="O192" s="22">
        <f t="shared" si="27"/>
        <v>4.5</v>
      </c>
      <c r="P192" s="22">
        <f t="shared" si="27"/>
        <v>6.75</v>
      </c>
      <c r="Q192" s="22">
        <f t="shared" si="27"/>
        <v>9</v>
      </c>
      <c r="R192" s="22">
        <f t="shared" si="27"/>
        <v>9</v>
      </c>
      <c r="S192" s="22">
        <f t="shared" si="27"/>
        <v>4.05</v>
      </c>
      <c r="T192" s="22">
        <f t="shared" si="27"/>
        <v>4.05</v>
      </c>
      <c r="U192" s="22">
        <f t="shared" si="27"/>
        <v>6.75</v>
      </c>
      <c r="V192" s="22">
        <f t="shared" si="27"/>
        <v>9</v>
      </c>
      <c r="W192" s="22">
        <f t="shared" si="27"/>
        <v>6.75</v>
      </c>
      <c r="X192" s="22">
        <f t="shared" si="27"/>
        <v>4.5</v>
      </c>
      <c r="Y192" s="22">
        <f t="shared" si="27"/>
        <v>2.25</v>
      </c>
      <c r="Z192" s="22">
        <f t="shared" si="27"/>
        <v>4.5</v>
      </c>
    </row>
    <row r="193" spans="1:26" x14ac:dyDescent="0.3">
      <c r="A193" s="22">
        <f t="shared" si="20"/>
        <v>137.8125</v>
      </c>
      <c r="B193" s="22">
        <f t="shared" si="21"/>
        <v>27.5625</v>
      </c>
      <c r="C193" s="22">
        <f t="shared" si="22"/>
        <v>110.25</v>
      </c>
      <c r="D193" s="24" t="s">
        <v>180</v>
      </c>
      <c r="E193" s="24" t="s">
        <v>437</v>
      </c>
      <c r="F193" s="17" t="s">
        <v>456</v>
      </c>
      <c r="G193" s="22">
        <v>37.5</v>
      </c>
      <c r="H193" s="16">
        <v>0.05</v>
      </c>
      <c r="I193" s="22">
        <f t="shared" si="23"/>
        <v>1.875</v>
      </c>
      <c r="J193" s="22">
        <f t="shared" si="24"/>
        <v>39.375</v>
      </c>
      <c r="K193" s="22">
        <f t="shared" si="27"/>
        <v>3.75</v>
      </c>
      <c r="L193" s="22">
        <f t="shared" si="27"/>
        <v>2.25</v>
      </c>
      <c r="M193" s="22">
        <f t="shared" si="27"/>
        <v>2.25</v>
      </c>
      <c r="N193" s="22">
        <f t="shared" si="27"/>
        <v>3.375</v>
      </c>
      <c r="O193" s="22">
        <f t="shared" si="27"/>
        <v>3.75</v>
      </c>
      <c r="P193" s="22">
        <f t="shared" si="27"/>
        <v>5.625</v>
      </c>
      <c r="Q193" s="22">
        <f t="shared" si="27"/>
        <v>7.5</v>
      </c>
      <c r="R193" s="22">
        <f t="shared" si="27"/>
        <v>7.5</v>
      </c>
      <c r="S193" s="22">
        <f t="shared" si="27"/>
        <v>3.375</v>
      </c>
      <c r="T193" s="22">
        <f t="shared" si="27"/>
        <v>3.375</v>
      </c>
      <c r="U193" s="22">
        <f t="shared" si="27"/>
        <v>5.625</v>
      </c>
      <c r="V193" s="22">
        <f t="shared" si="27"/>
        <v>7.5</v>
      </c>
      <c r="W193" s="22">
        <f t="shared" si="27"/>
        <v>5.625</v>
      </c>
      <c r="X193" s="22">
        <f t="shared" si="27"/>
        <v>3.75</v>
      </c>
      <c r="Y193" s="22">
        <f t="shared" si="27"/>
        <v>1.875</v>
      </c>
      <c r="Z193" s="22">
        <f t="shared" si="27"/>
        <v>3.75</v>
      </c>
    </row>
    <row r="194" spans="1:26" x14ac:dyDescent="0.3">
      <c r="A194" s="22">
        <f t="shared" si="20"/>
        <v>54.022499999999987</v>
      </c>
      <c r="B194" s="22">
        <f t="shared" si="21"/>
        <v>10.804499999999997</v>
      </c>
      <c r="C194" s="22">
        <f t="shared" si="22"/>
        <v>43.217999999999989</v>
      </c>
      <c r="D194" s="24" t="s">
        <v>180</v>
      </c>
      <c r="E194" s="24" t="s">
        <v>437</v>
      </c>
      <c r="F194" s="17" t="s">
        <v>457</v>
      </c>
      <c r="G194" s="22">
        <v>14.7</v>
      </c>
      <c r="H194" s="16">
        <v>0.05</v>
      </c>
      <c r="I194" s="22">
        <f t="shared" si="23"/>
        <v>0.73499999999999999</v>
      </c>
      <c r="J194" s="22">
        <f t="shared" si="24"/>
        <v>15.434999999999999</v>
      </c>
      <c r="K194" s="22">
        <f t="shared" si="27"/>
        <v>1.47</v>
      </c>
      <c r="L194" s="22">
        <f t="shared" si="27"/>
        <v>0.8819999999999999</v>
      </c>
      <c r="M194" s="22">
        <f t="shared" si="27"/>
        <v>0.8819999999999999</v>
      </c>
      <c r="N194" s="22">
        <f t="shared" si="27"/>
        <v>1.323</v>
      </c>
      <c r="O194" s="22">
        <f t="shared" si="27"/>
        <v>1.47</v>
      </c>
      <c r="P194" s="22">
        <f t="shared" si="27"/>
        <v>2.2049999999999996</v>
      </c>
      <c r="Q194" s="22">
        <f t="shared" si="27"/>
        <v>2.94</v>
      </c>
      <c r="R194" s="22">
        <f t="shared" si="27"/>
        <v>2.94</v>
      </c>
      <c r="S194" s="22">
        <f t="shared" si="27"/>
        <v>1.323</v>
      </c>
      <c r="T194" s="22">
        <f t="shared" si="27"/>
        <v>1.323</v>
      </c>
      <c r="U194" s="22">
        <f t="shared" si="27"/>
        <v>2.2049999999999996</v>
      </c>
      <c r="V194" s="22">
        <f t="shared" si="27"/>
        <v>2.94</v>
      </c>
      <c r="W194" s="22">
        <f t="shared" si="27"/>
        <v>2.2049999999999996</v>
      </c>
      <c r="X194" s="22">
        <f t="shared" si="27"/>
        <v>1.47</v>
      </c>
      <c r="Y194" s="22">
        <f t="shared" si="27"/>
        <v>0.73499999999999999</v>
      </c>
      <c r="Z194" s="22">
        <f t="shared" si="27"/>
        <v>1.47</v>
      </c>
    </row>
    <row r="195" spans="1:26" x14ac:dyDescent="0.3">
      <c r="A195" s="22">
        <f t="shared" si="20"/>
        <v>71.662500000000009</v>
      </c>
      <c r="B195" s="22">
        <f t="shared" si="21"/>
        <v>14.332500000000001</v>
      </c>
      <c r="C195" s="22">
        <f t="shared" si="22"/>
        <v>57.330000000000005</v>
      </c>
      <c r="D195" s="24" t="s">
        <v>180</v>
      </c>
      <c r="E195" s="24" t="s">
        <v>437</v>
      </c>
      <c r="F195" s="17" t="s">
        <v>458</v>
      </c>
      <c r="G195" s="22">
        <v>19.5</v>
      </c>
      <c r="H195" s="16">
        <v>0.05</v>
      </c>
      <c r="I195" s="22">
        <f t="shared" si="23"/>
        <v>0.97500000000000009</v>
      </c>
      <c r="J195" s="22">
        <f t="shared" si="24"/>
        <v>20.475000000000001</v>
      </c>
      <c r="K195" s="22">
        <f t="shared" si="27"/>
        <v>1.9500000000000002</v>
      </c>
      <c r="L195" s="22">
        <f t="shared" si="27"/>
        <v>1.17</v>
      </c>
      <c r="M195" s="22">
        <f t="shared" si="27"/>
        <v>1.17</v>
      </c>
      <c r="N195" s="22">
        <f t="shared" si="27"/>
        <v>1.7549999999999999</v>
      </c>
      <c r="O195" s="22">
        <f t="shared" si="27"/>
        <v>1.9500000000000002</v>
      </c>
      <c r="P195" s="22">
        <f t="shared" si="27"/>
        <v>2.9249999999999998</v>
      </c>
      <c r="Q195" s="22">
        <f t="shared" si="27"/>
        <v>3.9000000000000004</v>
      </c>
      <c r="R195" s="22">
        <f t="shared" si="27"/>
        <v>3.9000000000000004</v>
      </c>
      <c r="S195" s="22">
        <f t="shared" si="27"/>
        <v>1.7549999999999999</v>
      </c>
      <c r="T195" s="22">
        <f t="shared" si="27"/>
        <v>1.7549999999999999</v>
      </c>
      <c r="U195" s="22">
        <f t="shared" si="27"/>
        <v>2.9249999999999998</v>
      </c>
      <c r="V195" s="22">
        <f t="shared" si="27"/>
        <v>3.9000000000000004</v>
      </c>
      <c r="W195" s="22">
        <f t="shared" si="27"/>
        <v>2.9249999999999998</v>
      </c>
      <c r="X195" s="22">
        <f t="shared" si="27"/>
        <v>1.9500000000000002</v>
      </c>
      <c r="Y195" s="22">
        <f t="shared" si="27"/>
        <v>0.97500000000000009</v>
      </c>
      <c r="Z195" s="22">
        <f t="shared" si="27"/>
        <v>1.9500000000000002</v>
      </c>
    </row>
    <row r="196" spans="1:26" x14ac:dyDescent="0.3">
      <c r="A196" s="22">
        <f t="shared" ref="A196:A238" si="28">B196+C196</f>
        <v>71.662500000000009</v>
      </c>
      <c r="B196" s="22">
        <f t="shared" ref="B196:B238" si="29">C196*$B$1</f>
        <v>14.332500000000001</v>
      </c>
      <c r="C196" s="22">
        <f t="shared" ref="C196:C238" si="30">SUM(J196:Z196)</f>
        <v>57.330000000000005</v>
      </c>
      <c r="D196" s="24" t="s">
        <v>180</v>
      </c>
      <c r="E196" s="24" t="s">
        <v>437</v>
      </c>
      <c r="F196" s="17" t="s">
        <v>459</v>
      </c>
      <c r="G196" s="22">
        <v>19.5</v>
      </c>
      <c r="H196" s="16">
        <v>0.05</v>
      </c>
      <c r="I196" s="22">
        <f t="shared" ref="I196:I238" si="31">G196*H196</f>
        <v>0.97500000000000009</v>
      </c>
      <c r="J196" s="22">
        <f t="shared" ref="J196:J238" si="32">G196+I196</f>
        <v>20.475000000000001</v>
      </c>
      <c r="K196" s="22">
        <f t="shared" si="27"/>
        <v>1.9500000000000002</v>
      </c>
      <c r="L196" s="22">
        <f t="shared" si="27"/>
        <v>1.17</v>
      </c>
      <c r="M196" s="22">
        <f t="shared" si="27"/>
        <v>1.17</v>
      </c>
      <c r="N196" s="22">
        <f t="shared" si="27"/>
        <v>1.7549999999999999</v>
      </c>
      <c r="O196" s="22">
        <f t="shared" si="27"/>
        <v>1.9500000000000002</v>
      </c>
      <c r="P196" s="22">
        <f t="shared" si="27"/>
        <v>2.9249999999999998</v>
      </c>
      <c r="Q196" s="22">
        <f t="shared" si="27"/>
        <v>3.9000000000000004</v>
      </c>
      <c r="R196" s="22">
        <f t="shared" si="27"/>
        <v>3.9000000000000004</v>
      </c>
      <c r="S196" s="22">
        <f t="shared" si="27"/>
        <v>1.7549999999999999</v>
      </c>
      <c r="T196" s="22">
        <f t="shared" si="27"/>
        <v>1.7549999999999999</v>
      </c>
      <c r="U196" s="22">
        <f t="shared" si="27"/>
        <v>2.9249999999999998</v>
      </c>
      <c r="V196" s="22">
        <f t="shared" si="27"/>
        <v>3.9000000000000004</v>
      </c>
      <c r="W196" s="22">
        <f t="shared" si="27"/>
        <v>2.9249999999999998</v>
      </c>
      <c r="X196" s="22">
        <f t="shared" si="27"/>
        <v>1.9500000000000002</v>
      </c>
      <c r="Y196" s="22">
        <f t="shared" si="27"/>
        <v>0.97500000000000009</v>
      </c>
      <c r="Z196" s="22">
        <f t="shared" si="27"/>
        <v>1.9500000000000002</v>
      </c>
    </row>
    <row r="197" spans="1:26" x14ac:dyDescent="0.3">
      <c r="A197" s="22">
        <f t="shared" si="28"/>
        <v>38.587500000000013</v>
      </c>
      <c r="B197" s="22">
        <f t="shared" si="29"/>
        <v>7.717500000000002</v>
      </c>
      <c r="C197" s="22">
        <f t="shared" si="30"/>
        <v>30.870000000000008</v>
      </c>
      <c r="D197" s="24" t="s">
        <v>180</v>
      </c>
      <c r="E197" s="24" t="s">
        <v>437</v>
      </c>
      <c r="F197" s="17" t="s">
        <v>460</v>
      </c>
      <c r="G197" s="22">
        <v>10.5</v>
      </c>
      <c r="H197" s="16">
        <v>0.05</v>
      </c>
      <c r="I197" s="22">
        <f t="shared" si="31"/>
        <v>0.52500000000000002</v>
      </c>
      <c r="J197" s="22">
        <f t="shared" si="32"/>
        <v>11.025</v>
      </c>
      <c r="K197" s="22">
        <f t="shared" si="27"/>
        <v>1.05</v>
      </c>
      <c r="L197" s="22">
        <f t="shared" si="27"/>
        <v>0.63</v>
      </c>
      <c r="M197" s="22">
        <f t="shared" si="27"/>
        <v>0.63</v>
      </c>
      <c r="N197" s="22">
        <f t="shared" si="27"/>
        <v>0.94499999999999995</v>
      </c>
      <c r="O197" s="22">
        <f t="shared" si="27"/>
        <v>1.05</v>
      </c>
      <c r="P197" s="22">
        <f t="shared" si="27"/>
        <v>1.575</v>
      </c>
      <c r="Q197" s="22">
        <f t="shared" si="27"/>
        <v>2.1</v>
      </c>
      <c r="R197" s="22">
        <f t="shared" si="27"/>
        <v>2.1</v>
      </c>
      <c r="S197" s="22">
        <f t="shared" si="27"/>
        <v>0.94499999999999995</v>
      </c>
      <c r="T197" s="22">
        <f t="shared" si="27"/>
        <v>0.94499999999999995</v>
      </c>
      <c r="U197" s="22">
        <f t="shared" si="27"/>
        <v>1.575</v>
      </c>
      <c r="V197" s="22">
        <f t="shared" si="27"/>
        <v>2.1</v>
      </c>
      <c r="W197" s="22">
        <f t="shared" si="27"/>
        <v>1.575</v>
      </c>
      <c r="X197" s="22">
        <f t="shared" si="27"/>
        <v>1.05</v>
      </c>
      <c r="Y197" s="22">
        <f t="shared" si="27"/>
        <v>0.52500000000000002</v>
      </c>
      <c r="Z197" s="22">
        <f t="shared" si="27"/>
        <v>1.05</v>
      </c>
    </row>
    <row r="198" spans="1:26" x14ac:dyDescent="0.3">
      <c r="A198" s="22">
        <f t="shared" si="28"/>
        <v>88.2</v>
      </c>
      <c r="B198" s="22">
        <f t="shared" si="29"/>
        <v>17.64</v>
      </c>
      <c r="C198" s="22">
        <f t="shared" si="30"/>
        <v>70.56</v>
      </c>
      <c r="D198" s="24" t="s">
        <v>180</v>
      </c>
      <c r="E198" s="24" t="s">
        <v>437</v>
      </c>
      <c r="F198" s="17" t="s">
        <v>461</v>
      </c>
      <c r="G198" s="22">
        <v>24</v>
      </c>
      <c r="H198" s="16">
        <v>0.05</v>
      </c>
      <c r="I198" s="22">
        <f t="shared" si="31"/>
        <v>1.2000000000000002</v>
      </c>
      <c r="J198" s="22">
        <f t="shared" si="32"/>
        <v>25.2</v>
      </c>
      <c r="K198" s="22">
        <f t="shared" si="27"/>
        <v>2.4000000000000004</v>
      </c>
      <c r="L198" s="22">
        <f t="shared" si="27"/>
        <v>1.44</v>
      </c>
      <c r="M198" s="22">
        <f t="shared" si="27"/>
        <v>1.44</v>
      </c>
      <c r="N198" s="22">
        <f t="shared" si="27"/>
        <v>2.16</v>
      </c>
      <c r="O198" s="22">
        <f t="shared" si="27"/>
        <v>2.4000000000000004</v>
      </c>
      <c r="P198" s="22">
        <f t="shared" si="27"/>
        <v>3.5999999999999996</v>
      </c>
      <c r="Q198" s="22">
        <f t="shared" si="27"/>
        <v>4.8000000000000007</v>
      </c>
      <c r="R198" s="22">
        <f t="shared" si="27"/>
        <v>4.8000000000000007</v>
      </c>
      <c r="S198" s="22">
        <f t="shared" si="27"/>
        <v>2.16</v>
      </c>
      <c r="T198" s="22">
        <f t="shared" si="27"/>
        <v>2.16</v>
      </c>
      <c r="U198" s="22">
        <f t="shared" si="27"/>
        <v>3.5999999999999996</v>
      </c>
      <c r="V198" s="22">
        <f t="shared" si="27"/>
        <v>4.8000000000000007</v>
      </c>
      <c r="W198" s="22">
        <f t="shared" si="27"/>
        <v>3.5999999999999996</v>
      </c>
      <c r="X198" s="22">
        <f t="shared" si="27"/>
        <v>2.4000000000000004</v>
      </c>
      <c r="Y198" s="22">
        <f t="shared" si="27"/>
        <v>1.2000000000000002</v>
      </c>
      <c r="Z198" s="22">
        <f t="shared" si="27"/>
        <v>2.4000000000000004</v>
      </c>
    </row>
    <row r="199" spans="1:26" x14ac:dyDescent="0.3">
      <c r="A199" s="22">
        <f t="shared" si="28"/>
        <v>66.149999999999991</v>
      </c>
      <c r="B199" s="22">
        <f t="shared" si="29"/>
        <v>13.229999999999999</v>
      </c>
      <c r="C199" s="22">
        <f t="shared" si="30"/>
        <v>52.919999999999995</v>
      </c>
      <c r="D199" s="24" t="s">
        <v>180</v>
      </c>
      <c r="E199" s="24" t="s">
        <v>437</v>
      </c>
      <c r="F199" s="17" t="s">
        <v>462</v>
      </c>
      <c r="G199" s="22">
        <v>18</v>
      </c>
      <c r="H199" s="16">
        <v>0.05</v>
      </c>
      <c r="I199" s="22">
        <f t="shared" si="31"/>
        <v>0.9</v>
      </c>
      <c r="J199" s="22">
        <f t="shared" si="32"/>
        <v>18.899999999999999</v>
      </c>
      <c r="K199" s="22">
        <f t="shared" si="27"/>
        <v>1.8</v>
      </c>
      <c r="L199" s="22">
        <f t="shared" si="27"/>
        <v>1.08</v>
      </c>
      <c r="M199" s="22">
        <f t="shared" si="27"/>
        <v>1.08</v>
      </c>
      <c r="N199" s="22">
        <f t="shared" si="27"/>
        <v>1.6199999999999999</v>
      </c>
      <c r="O199" s="22">
        <f t="shared" si="27"/>
        <v>1.8</v>
      </c>
      <c r="P199" s="22">
        <f t="shared" si="27"/>
        <v>2.6999999999999997</v>
      </c>
      <c r="Q199" s="22">
        <f t="shared" si="27"/>
        <v>3.6</v>
      </c>
      <c r="R199" s="22">
        <f t="shared" si="27"/>
        <v>3.6</v>
      </c>
      <c r="S199" s="22">
        <f t="shared" si="27"/>
        <v>1.6199999999999999</v>
      </c>
      <c r="T199" s="22">
        <f t="shared" si="27"/>
        <v>1.6199999999999999</v>
      </c>
      <c r="U199" s="22">
        <f t="shared" si="27"/>
        <v>2.6999999999999997</v>
      </c>
      <c r="V199" s="22">
        <f t="shared" si="27"/>
        <v>3.6</v>
      </c>
      <c r="W199" s="22">
        <f t="shared" si="27"/>
        <v>2.6999999999999997</v>
      </c>
      <c r="X199" s="22">
        <f t="shared" si="27"/>
        <v>1.8</v>
      </c>
      <c r="Y199" s="22">
        <f t="shared" si="27"/>
        <v>0.9</v>
      </c>
      <c r="Z199" s="22">
        <f t="shared" si="27"/>
        <v>1.8</v>
      </c>
    </row>
    <row r="200" spans="1:26" x14ac:dyDescent="0.3">
      <c r="A200" s="22">
        <f t="shared" si="28"/>
        <v>66.149999999999991</v>
      </c>
      <c r="B200" s="22">
        <f t="shared" si="29"/>
        <v>13.229999999999999</v>
      </c>
      <c r="C200" s="22">
        <f t="shared" si="30"/>
        <v>52.919999999999995</v>
      </c>
      <c r="D200" s="24" t="s">
        <v>180</v>
      </c>
      <c r="E200" s="24" t="s">
        <v>437</v>
      </c>
      <c r="F200" s="17" t="s">
        <v>463</v>
      </c>
      <c r="G200" s="22">
        <v>18</v>
      </c>
      <c r="H200" s="16">
        <v>0.05</v>
      </c>
      <c r="I200" s="22">
        <f t="shared" si="31"/>
        <v>0.9</v>
      </c>
      <c r="J200" s="22">
        <f t="shared" si="32"/>
        <v>18.899999999999999</v>
      </c>
      <c r="K200" s="22">
        <f t="shared" si="27"/>
        <v>1.8</v>
      </c>
      <c r="L200" s="22">
        <f t="shared" si="27"/>
        <v>1.08</v>
      </c>
      <c r="M200" s="22">
        <f t="shared" si="27"/>
        <v>1.08</v>
      </c>
      <c r="N200" s="22">
        <f t="shared" si="27"/>
        <v>1.6199999999999999</v>
      </c>
      <c r="O200" s="22">
        <f t="shared" si="27"/>
        <v>1.8</v>
      </c>
      <c r="P200" s="22">
        <f t="shared" si="27"/>
        <v>2.6999999999999997</v>
      </c>
      <c r="Q200" s="22">
        <f t="shared" si="27"/>
        <v>3.6</v>
      </c>
      <c r="R200" s="22">
        <f t="shared" si="27"/>
        <v>3.6</v>
      </c>
      <c r="S200" s="22">
        <f t="shared" si="27"/>
        <v>1.6199999999999999</v>
      </c>
      <c r="T200" s="22">
        <f t="shared" si="27"/>
        <v>1.6199999999999999</v>
      </c>
      <c r="U200" s="22">
        <f t="shared" si="27"/>
        <v>2.6999999999999997</v>
      </c>
      <c r="V200" s="22">
        <f t="shared" si="27"/>
        <v>3.6</v>
      </c>
      <c r="W200" s="22">
        <f t="shared" si="27"/>
        <v>2.6999999999999997</v>
      </c>
      <c r="X200" s="22">
        <f t="shared" si="27"/>
        <v>1.8</v>
      </c>
      <c r="Y200" s="22">
        <f t="shared" si="27"/>
        <v>0.9</v>
      </c>
      <c r="Z200" s="22">
        <f t="shared" si="27"/>
        <v>1.8</v>
      </c>
    </row>
    <row r="201" spans="1:26" x14ac:dyDescent="0.3">
      <c r="A201" s="22">
        <f t="shared" si="28"/>
        <v>66.149999999999991</v>
      </c>
      <c r="B201" s="22">
        <f t="shared" si="29"/>
        <v>13.229999999999999</v>
      </c>
      <c r="C201" s="22">
        <f t="shared" si="30"/>
        <v>52.919999999999995</v>
      </c>
      <c r="D201" s="24" t="s">
        <v>180</v>
      </c>
      <c r="E201" s="24" t="s">
        <v>437</v>
      </c>
      <c r="F201" s="17" t="s">
        <v>464</v>
      </c>
      <c r="G201" s="22">
        <v>18</v>
      </c>
      <c r="H201" s="16">
        <v>0.05</v>
      </c>
      <c r="I201" s="22">
        <f t="shared" si="31"/>
        <v>0.9</v>
      </c>
      <c r="J201" s="22">
        <f t="shared" si="32"/>
        <v>18.899999999999999</v>
      </c>
      <c r="K201" s="22">
        <f t="shared" si="27"/>
        <v>1.8</v>
      </c>
      <c r="L201" s="22">
        <f t="shared" si="27"/>
        <v>1.08</v>
      </c>
      <c r="M201" s="22">
        <f t="shared" si="27"/>
        <v>1.08</v>
      </c>
      <c r="N201" s="22">
        <f t="shared" si="27"/>
        <v>1.6199999999999999</v>
      </c>
      <c r="O201" s="22">
        <f t="shared" si="27"/>
        <v>1.8</v>
      </c>
      <c r="P201" s="22">
        <f t="shared" si="27"/>
        <v>2.6999999999999997</v>
      </c>
      <c r="Q201" s="22">
        <f t="shared" si="27"/>
        <v>3.6</v>
      </c>
      <c r="R201" s="22">
        <f t="shared" si="27"/>
        <v>3.6</v>
      </c>
      <c r="S201" s="22">
        <f t="shared" si="27"/>
        <v>1.6199999999999999</v>
      </c>
      <c r="T201" s="22">
        <f t="shared" si="27"/>
        <v>1.6199999999999999</v>
      </c>
      <c r="U201" s="22">
        <f t="shared" si="27"/>
        <v>2.6999999999999997</v>
      </c>
      <c r="V201" s="22">
        <f t="shared" si="27"/>
        <v>3.6</v>
      </c>
      <c r="W201" s="22">
        <f t="shared" si="27"/>
        <v>2.6999999999999997</v>
      </c>
      <c r="X201" s="22">
        <f t="shared" si="27"/>
        <v>1.8</v>
      </c>
      <c r="Y201" s="22">
        <f t="shared" si="27"/>
        <v>0.9</v>
      </c>
      <c r="Z201" s="22">
        <f t="shared" si="27"/>
        <v>1.8</v>
      </c>
    </row>
    <row r="202" spans="1:26" x14ac:dyDescent="0.3">
      <c r="A202" s="22">
        <f t="shared" si="28"/>
        <v>66.149999999999991</v>
      </c>
      <c r="B202" s="22">
        <f t="shared" si="29"/>
        <v>13.229999999999999</v>
      </c>
      <c r="C202" s="22">
        <f t="shared" si="30"/>
        <v>52.919999999999995</v>
      </c>
      <c r="D202" s="24" t="s">
        <v>180</v>
      </c>
      <c r="E202" s="24" t="s">
        <v>437</v>
      </c>
      <c r="F202" s="17" t="s">
        <v>465</v>
      </c>
      <c r="G202" s="22">
        <v>18</v>
      </c>
      <c r="H202" s="16">
        <v>0.05</v>
      </c>
      <c r="I202" s="22">
        <f t="shared" si="31"/>
        <v>0.9</v>
      </c>
      <c r="J202" s="22">
        <f t="shared" si="32"/>
        <v>18.899999999999999</v>
      </c>
      <c r="K202" s="22">
        <f t="shared" si="27"/>
        <v>1.8</v>
      </c>
      <c r="L202" s="22">
        <f t="shared" si="27"/>
        <v>1.08</v>
      </c>
      <c r="M202" s="22">
        <f t="shared" si="27"/>
        <v>1.08</v>
      </c>
      <c r="N202" s="22">
        <f t="shared" si="27"/>
        <v>1.6199999999999999</v>
      </c>
      <c r="O202" s="22">
        <f t="shared" si="27"/>
        <v>1.8</v>
      </c>
      <c r="P202" s="22">
        <f t="shared" si="27"/>
        <v>2.6999999999999997</v>
      </c>
      <c r="Q202" s="22">
        <f t="shared" si="27"/>
        <v>3.6</v>
      </c>
      <c r="R202" s="22">
        <f t="shared" si="27"/>
        <v>3.6</v>
      </c>
      <c r="S202" s="22">
        <f t="shared" si="27"/>
        <v>1.6199999999999999</v>
      </c>
      <c r="T202" s="22">
        <f t="shared" si="27"/>
        <v>1.6199999999999999</v>
      </c>
      <c r="U202" s="22">
        <f t="shared" si="27"/>
        <v>2.6999999999999997</v>
      </c>
      <c r="V202" s="22">
        <f t="shared" si="27"/>
        <v>3.6</v>
      </c>
      <c r="W202" s="22">
        <f t="shared" si="27"/>
        <v>2.6999999999999997</v>
      </c>
      <c r="X202" s="22">
        <f t="shared" si="27"/>
        <v>1.8</v>
      </c>
      <c r="Y202" s="22">
        <f t="shared" si="27"/>
        <v>0.9</v>
      </c>
      <c r="Z202" s="22">
        <f t="shared" si="27"/>
        <v>1.8</v>
      </c>
    </row>
    <row r="203" spans="1:26" x14ac:dyDescent="0.3">
      <c r="A203" s="22">
        <f t="shared" si="28"/>
        <v>137.8125</v>
      </c>
      <c r="B203" s="22">
        <f t="shared" si="29"/>
        <v>27.5625</v>
      </c>
      <c r="C203" s="22">
        <f t="shared" si="30"/>
        <v>110.25</v>
      </c>
      <c r="D203" s="24" t="s">
        <v>180</v>
      </c>
      <c r="E203" s="24" t="s">
        <v>437</v>
      </c>
      <c r="F203" s="17" t="s">
        <v>466</v>
      </c>
      <c r="G203" s="22">
        <v>37.5</v>
      </c>
      <c r="H203" s="16">
        <v>0.05</v>
      </c>
      <c r="I203" s="22">
        <f t="shared" si="31"/>
        <v>1.875</v>
      </c>
      <c r="J203" s="22">
        <f t="shared" si="32"/>
        <v>39.375</v>
      </c>
      <c r="K203" s="22">
        <f t="shared" si="27"/>
        <v>3.75</v>
      </c>
      <c r="L203" s="22">
        <f t="shared" si="27"/>
        <v>2.25</v>
      </c>
      <c r="M203" s="22">
        <f t="shared" si="27"/>
        <v>2.25</v>
      </c>
      <c r="N203" s="22">
        <f t="shared" si="27"/>
        <v>3.375</v>
      </c>
      <c r="O203" s="22">
        <f t="shared" si="27"/>
        <v>3.75</v>
      </c>
      <c r="P203" s="22">
        <f t="shared" si="27"/>
        <v>5.625</v>
      </c>
      <c r="Q203" s="22">
        <f t="shared" si="27"/>
        <v>7.5</v>
      </c>
      <c r="R203" s="22">
        <f t="shared" si="27"/>
        <v>7.5</v>
      </c>
      <c r="S203" s="22">
        <f t="shared" si="27"/>
        <v>3.375</v>
      </c>
      <c r="T203" s="22">
        <f t="shared" si="27"/>
        <v>3.375</v>
      </c>
      <c r="U203" s="22">
        <f t="shared" si="27"/>
        <v>5.625</v>
      </c>
      <c r="V203" s="22">
        <f t="shared" si="27"/>
        <v>7.5</v>
      </c>
      <c r="W203" s="22">
        <f t="shared" si="27"/>
        <v>5.625</v>
      </c>
      <c r="X203" s="22">
        <f t="shared" si="27"/>
        <v>3.75</v>
      </c>
      <c r="Y203" s="22">
        <f t="shared" si="27"/>
        <v>1.875</v>
      </c>
      <c r="Z203" s="22">
        <f t="shared" ref="V203:Z238" si="33">$G203*Z$1</f>
        <v>3.75</v>
      </c>
    </row>
    <row r="204" spans="1:26" x14ac:dyDescent="0.3">
      <c r="A204" s="22">
        <f t="shared" si="28"/>
        <v>88.2</v>
      </c>
      <c r="B204" s="22">
        <f t="shared" si="29"/>
        <v>17.64</v>
      </c>
      <c r="C204" s="22">
        <f t="shared" si="30"/>
        <v>70.56</v>
      </c>
      <c r="D204" s="24" t="s">
        <v>180</v>
      </c>
      <c r="E204" s="24" t="s">
        <v>437</v>
      </c>
      <c r="F204" s="17" t="s">
        <v>467</v>
      </c>
      <c r="G204" s="22">
        <v>24</v>
      </c>
      <c r="H204" s="16">
        <v>0.05</v>
      </c>
      <c r="I204" s="22">
        <f t="shared" si="31"/>
        <v>1.2000000000000002</v>
      </c>
      <c r="J204" s="22">
        <f t="shared" si="32"/>
        <v>25.2</v>
      </c>
      <c r="K204" s="22">
        <f t="shared" ref="K204:U238" si="34">$G204*K$1</f>
        <v>2.4000000000000004</v>
      </c>
      <c r="L204" s="22">
        <f t="shared" si="34"/>
        <v>1.44</v>
      </c>
      <c r="M204" s="22">
        <f t="shared" si="34"/>
        <v>1.44</v>
      </c>
      <c r="N204" s="22">
        <f t="shared" si="34"/>
        <v>2.16</v>
      </c>
      <c r="O204" s="22">
        <f t="shared" si="34"/>
        <v>2.4000000000000004</v>
      </c>
      <c r="P204" s="22">
        <f t="shared" si="34"/>
        <v>3.5999999999999996</v>
      </c>
      <c r="Q204" s="22">
        <f t="shared" si="34"/>
        <v>4.8000000000000007</v>
      </c>
      <c r="R204" s="22">
        <f t="shared" si="34"/>
        <v>4.8000000000000007</v>
      </c>
      <c r="S204" s="22">
        <f t="shared" si="34"/>
        <v>2.16</v>
      </c>
      <c r="T204" s="22">
        <f t="shared" si="34"/>
        <v>2.16</v>
      </c>
      <c r="U204" s="22">
        <f t="shared" si="34"/>
        <v>3.5999999999999996</v>
      </c>
      <c r="V204" s="22">
        <f t="shared" si="33"/>
        <v>4.8000000000000007</v>
      </c>
      <c r="W204" s="22">
        <f t="shared" si="33"/>
        <v>3.5999999999999996</v>
      </c>
      <c r="X204" s="22">
        <f t="shared" si="33"/>
        <v>2.4000000000000004</v>
      </c>
      <c r="Y204" s="22">
        <f t="shared" si="33"/>
        <v>1.2000000000000002</v>
      </c>
      <c r="Z204" s="22">
        <f t="shared" si="33"/>
        <v>2.4000000000000004</v>
      </c>
    </row>
    <row r="205" spans="1:26" x14ac:dyDescent="0.3">
      <c r="A205" s="22">
        <f t="shared" si="28"/>
        <v>99.224999999999994</v>
      </c>
      <c r="B205" s="22">
        <f t="shared" si="29"/>
        <v>19.844999999999999</v>
      </c>
      <c r="C205" s="22">
        <f t="shared" si="30"/>
        <v>79.38</v>
      </c>
      <c r="D205" s="24" t="s">
        <v>180</v>
      </c>
      <c r="E205" s="24" t="s">
        <v>437</v>
      </c>
      <c r="F205" s="17" t="s">
        <v>468</v>
      </c>
      <c r="G205" s="22">
        <v>27</v>
      </c>
      <c r="H205" s="16">
        <v>0.05</v>
      </c>
      <c r="I205" s="22">
        <f t="shared" si="31"/>
        <v>1.35</v>
      </c>
      <c r="J205" s="22">
        <f t="shared" si="32"/>
        <v>28.35</v>
      </c>
      <c r="K205" s="22">
        <f t="shared" si="34"/>
        <v>2.7</v>
      </c>
      <c r="L205" s="22">
        <f t="shared" si="34"/>
        <v>1.6199999999999999</v>
      </c>
      <c r="M205" s="22">
        <f t="shared" si="34"/>
        <v>1.6199999999999999</v>
      </c>
      <c r="N205" s="22">
        <f t="shared" si="34"/>
        <v>2.4299999999999997</v>
      </c>
      <c r="O205" s="22">
        <f t="shared" si="34"/>
        <v>2.7</v>
      </c>
      <c r="P205" s="22">
        <f t="shared" si="34"/>
        <v>4.05</v>
      </c>
      <c r="Q205" s="22">
        <f t="shared" si="34"/>
        <v>5.4</v>
      </c>
      <c r="R205" s="22">
        <f t="shared" si="34"/>
        <v>5.4</v>
      </c>
      <c r="S205" s="22">
        <f t="shared" si="34"/>
        <v>2.4299999999999997</v>
      </c>
      <c r="T205" s="22">
        <f t="shared" si="34"/>
        <v>2.4299999999999997</v>
      </c>
      <c r="U205" s="22">
        <f t="shared" si="34"/>
        <v>4.05</v>
      </c>
      <c r="V205" s="22">
        <f t="shared" si="33"/>
        <v>5.4</v>
      </c>
      <c r="W205" s="22">
        <f t="shared" si="33"/>
        <v>4.05</v>
      </c>
      <c r="X205" s="22">
        <f t="shared" si="33"/>
        <v>2.7</v>
      </c>
      <c r="Y205" s="22">
        <f t="shared" si="33"/>
        <v>1.35</v>
      </c>
      <c r="Z205" s="22">
        <f t="shared" si="33"/>
        <v>2.7</v>
      </c>
    </row>
    <row r="206" spans="1:26" x14ac:dyDescent="0.3">
      <c r="A206" s="22">
        <f t="shared" si="28"/>
        <v>54.022499999999987</v>
      </c>
      <c r="B206" s="22">
        <f t="shared" si="29"/>
        <v>10.804499999999997</v>
      </c>
      <c r="C206" s="22">
        <f t="shared" si="30"/>
        <v>43.217999999999989</v>
      </c>
      <c r="D206" s="24" t="s">
        <v>180</v>
      </c>
      <c r="E206" s="24" t="s">
        <v>437</v>
      </c>
      <c r="F206" s="17" t="s">
        <v>469</v>
      </c>
      <c r="G206" s="22">
        <v>14.7</v>
      </c>
      <c r="H206" s="16">
        <v>0.05</v>
      </c>
      <c r="I206" s="22">
        <f t="shared" si="31"/>
        <v>0.73499999999999999</v>
      </c>
      <c r="J206" s="22">
        <f t="shared" si="32"/>
        <v>15.434999999999999</v>
      </c>
      <c r="K206" s="22">
        <f t="shared" si="34"/>
        <v>1.47</v>
      </c>
      <c r="L206" s="22">
        <f t="shared" si="34"/>
        <v>0.8819999999999999</v>
      </c>
      <c r="M206" s="22">
        <f t="shared" si="34"/>
        <v>0.8819999999999999</v>
      </c>
      <c r="N206" s="22">
        <f t="shared" si="34"/>
        <v>1.323</v>
      </c>
      <c r="O206" s="22">
        <f t="shared" si="34"/>
        <v>1.47</v>
      </c>
      <c r="P206" s="22">
        <f t="shared" si="34"/>
        <v>2.2049999999999996</v>
      </c>
      <c r="Q206" s="22">
        <f t="shared" si="34"/>
        <v>2.94</v>
      </c>
      <c r="R206" s="22">
        <f t="shared" si="34"/>
        <v>2.94</v>
      </c>
      <c r="S206" s="22">
        <f t="shared" si="34"/>
        <v>1.323</v>
      </c>
      <c r="T206" s="22">
        <f t="shared" si="34"/>
        <v>1.323</v>
      </c>
      <c r="U206" s="22">
        <f t="shared" si="34"/>
        <v>2.2049999999999996</v>
      </c>
      <c r="V206" s="22">
        <f t="shared" si="33"/>
        <v>2.94</v>
      </c>
      <c r="W206" s="22">
        <f t="shared" si="33"/>
        <v>2.2049999999999996</v>
      </c>
      <c r="X206" s="22">
        <f t="shared" si="33"/>
        <v>1.47</v>
      </c>
      <c r="Y206" s="22">
        <f t="shared" si="33"/>
        <v>0.73499999999999999</v>
      </c>
      <c r="Z206" s="22">
        <f t="shared" si="33"/>
        <v>1.47</v>
      </c>
    </row>
    <row r="207" spans="1:26" x14ac:dyDescent="0.3">
      <c r="A207" s="22">
        <f t="shared" si="28"/>
        <v>137.8125</v>
      </c>
      <c r="B207" s="22">
        <f t="shared" si="29"/>
        <v>27.5625</v>
      </c>
      <c r="C207" s="22">
        <f t="shared" si="30"/>
        <v>110.25</v>
      </c>
      <c r="D207" s="24" t="s">
        <v>180</v>
      </c>
      <c r="E207" s="24" t="s">
        <v>437</v>
      </c>
      <c r="F207" s="17" t="s">
        <v>470</v>
      </c>
      <c r="G207" s="22">
        <v>37.5</v>
      </c>
      <c r="H207" s="16">
        <v>0.05</v>
      </c>
      <c r="I207" s="22">
        <f t="shared" si="31"/>
        <v>1.875</v>
      </c>
      <c r="J207" s="22">
        <f t="shared" si="32"/>
        <v>39.375</v>
      </c>
      <c r="K207" s="22">
        <f t="shared" si="34"/>
        <v>3.75</v>
      </c>
      <c r="L207" s="22">
        <f t="shared" si="34"/>
        <v>2.25</v>
      </c>
      <c r="M207" s="22">
        <f t="shared" si="34"/>
        <v>2.25</v>
      </c>
      <c r="N207" s="22">
        <f t="shared" si="34"/>
        <v>3.375</v>
      </c>
      <c r="O207" s="22">
        <f t="shared" si="34"/>
        <v>3.75</v>
      </c>
      <c r="P207" s="22">
        <f t="shared" si="34"/>
        <v>5.625</v>
      </c>
      <c r="Q207" s="22">
        <f t="shared" si="34"/>
        <v>7.5</v>
      </c>
      <c r="R207" s="22">
        <f t="shared" si="34"/>
        <v>7.5</v>
      </c>
      <c r="S207" s="22">
        <f t="shared" si="34"/>
        <v>3.375</v>
      </c>
      <c r="T207" s="22">
        <f t="shared" si="34"/>
        <v>3.375</v>
      </c>
      <c r="U207" s="22">
        <f t="shared" si="34"/>
        <v>5.625</v>
      </c>
      <c r="V207" s="22">
        <f t="shared" si="33"/>
        <v>7.5</v>
      </c>
      <c r="W207" s="22">
        <f t="shared" si="33"/>
        <v>5.625</v>
      </c>
      <c r="X207" s="22">
        <f t="shared" si="33"/>
        <v>3.75</v>
      </c>
      <c r="Y207" s="22">
        <f t="shared" si="33"/>
        <v>1.875</v>
      </c>
      <c r="Z207" s="22">
        <f t="shared" si="33"/>
        <v>3.75</v>
      </c>
    </row>
    <row r="208" spans="1:26" x14ac:dyDescent="0.3">
      <c r="A208" s="22">
        <f t="shared" si="28"/>
        <v>37.852500000000006</v>
      </c>
      <c r="B208" s="22">
        <f t="shared" si="29"/>
        <v>7.5705000000000009</v>
      </c>
      <c r="C208" s="22">
        <f t="shared" si="30"/>
        <v>30.282000000000004</v>
      </c>
      <c r="D208" s="25" t="s">
        <v>0</v>
      </c>
      <c r="E208" s="25" t="s">
        <v>471</v>
      </c>
      <c r="F208" s="17" t="s">
        <v>216</v>
      </c>
      <c r="G208" s="22">
        <v>10.3</v>
      </c>
      <c r="H208" s="16">
        <v>0.05</v>
      </c>
      <c r="I208" s="22">
        <f t="shared" si="31"/>
        <v>0.51500000000000001</v>
      </c>
      <c r="J208" s="22">
        <f t="shared" si="32"/>
        <v>10.815000000000001</v>
      </c>
      <c r="K208" s="22">
        <f t="shared" si="34"/>
        <v>1.03</v>
      </c>
      <c r="L208" s="22">
        <f t="shared" si="34"/>
        <v>0.61799999999999999</v>
      </c>
      <c r="M208" s="22">
        <f t="shared" si="34"/>
        <v>0.61799999999999999</v>
      </c>
      <c r="N208" s="22">
        <f t="shared" si="34"/>
        <v>0.92700000000000005</v>
      </c>
      <c r="O208" s="22">
        <f t="shared" si="34"/>
        <v>1.03</v>
      </c>
      <c r="P208" s="22">
        <f t="shared" si="34"/>
        <v>1.5450000000000002</v>
      </c>
      <c r="Q208" s="22">
        <f t="shared" si="34"/>
        <v>2.06</v>
      </c>
      <c r="R208" s="22">
        <f t="shared" si="34"/>
        <v>2.06</v>
      </c>
      <c r="S208" s="22">
        <f t="shared" si="34"/>
        <v>0.92700000000000005</v>
      </c>
      <c r="T208" s="22">
        <f t="shared" si="34"/>
        <v>0.92700000000000005</v>
      </c>
      <c r="U208" s="22">
        <f t="shared" si="34"/>
        <v>1.5450000000000002</v>
      </c>
      <c r="V208" s="22">
        <f t="shared" si="33"/>
        <v>2.06</v>
      </c>
      <c r="W208" s="22">
        <f t="shared" si="33"/>
        <v>1.5450000000000002</v>
      </c>
      <c r="X208" s="22">
        <f t="shared" si="33"/>
        <v>1.03</v>
      </c>
      <c r="Y208" s="22">
        <f t="shared" si="33"/>
        <v>0.51500000000000001</v>
      </c>
      <c r="Z208" s="22">
        <f t="shared" si="33"/>
        <v>1.03</v>
      </c>
    </row>
    <row r="209" spans="1:26" x14ac:dyDescent="0.3">
      <c r="A209" s="22">
        <f t="shared" si="28"/>
        <v>378.52499999999998</v>
      </c>
      <c r="B209" s="22">
        <f t="shared" si="29"/>
        <v>75.704999999999998</v>
      </c>
      <c r="C209" s="22">
        <f t="shared" si="30"/>
        <v>302.82</v>
      </c>
      <c r="D209" s="25" t="s">
        <v>0</v>
      </c>
      <c r="E209" s="25" t="s">
        <v>471</v>
      </c>
      <c r="F209" s="17" t="s">
        <v>218</v>
      </c>
      <c r="G209" s="22">
        <v>103</v>
      </c>
      <c r="H209" s="16">
        <v>0.05</v>
      </c>
      <c r="I209" s="22">
        <f t="shared" si="31"/>
        <v>5.15</v>
      </c>
      <c r="J209" s="22">
        <f t="shared" si="32"/>
        <v>108.15</v>
      </c>
      <c r="K209" s="22">
        <f t="shared" si="34"/>
        <v>10.3</v>
      </c>
      <c r="L209" s="22">
        <f t="shared" si="34"/>
        <v>6.18</v>
      </c>
      <c r="M209" s="22">
        <f t="shared" si="34"/>
        <v>6.18</v>
      </c>
      <c r="N209" s="22">
        <f t="shared" si="34"/>
        <v>9.27</v>
      </c>
      <c r="O209" s="22">
        <f t="shared" si="34"/>
        <v>10.3</v>
      </c>
      <c r="P209" s="22">
        <f t="shared" si="34"/>
        <v>15.45</v>
      </c>
      <c r="Q209" s="22">
        <f t="shared" si="34"/>
        <v>20.6</v>
      </c>
      <c r="R209" s="22">
        <f t="shared" si="34"/>
        <v>20.6</v>
      </c>
      <c r="S209" s="22">
        <f t="shared" si="34"/>
        <v>9.27</v>
      </c>
      <c r="T209" s="22">
        <f t="shared" si="34"/>
        <v>9.27</v>
      </c>
      <c r="U209" s="22">
        <f t="shared" si="34"/>
        <v>15.45</v>
      </c>
      <c r="V209" s="22">
        <f t="shared" si="33"/>
        <v>20.6</v>
      </c>
      <c r="W209" s="22">
        <f t="shared" si="33"/>
        <v>15.45</v>
      </c>
      <c r="X209" s="22">
        <f t="shared" si="33"/>
        <v>10.3</v>
      </c>
      <c r="Y209" s="22">
        <f t="shared" si="33"/>
        <v>5.15</v>
      </c>
      <c r="Z209" s="22">
        <f t="shared" si="33"/>
        <v>10.3</v>
      </c>
    </row>
    <row r="210" spans="1:26" x14ac:dyDescent="0.3">
      <c r="A210" s="22">
        <f t="shared" si="28"/>
        <v>42.96074999999999</v>
      </c>
      <c r="B210" s="22">
        <f t="shared" si="29"/>
        <v>8.5921499999999984</v>
      </c>
      <c r="C210" s="22">
        <f t="shared" si="30"/>
        <v>34.368599999999994</v>
      </c>
      <c r="D210" s="25" t="s">
        <v>0</v>
      </c>
      <c r="E210" s="25" t="s">
        <v>471</v>
      </c>
      <c r="F210" s="17" t="s">
        <v>296</v>
      </c>
      <c r="G210" s="22">
        <v>11.69</v>
      </c>
      <c r="H210" s="16">
        <v>0.05</v>
      </c>
      <c r="I210" s="22">
        <f t="shared" si="31"/>
        <v>0.58450000000000002</v>
      </c>
      <c r="J210" s="22">
        <f t="shared" si="32"/>
        <v>12.2745</v>
      </c>
      <c r="K210" s="22">
        <f t="shared" si="34"/>
        <v>1.169</v>
      </c>
      <c r="L210" s="22">
        <f t="shared" si="34"/>
        <v>0.70139999999999991</v>
      </c>
      <c r="M210" s="22">
        <f t="shared" si="34"/>
        <v>0.70139999999999991</v>
      </c>
      <c r="N210" s="22">
        <f t="shared" si="34"/>
        <v>1.0520999999999998</v>
      </c>
      <c r="O210" s="22">
        <f t="shared" si="34"/>
        <v>1.169</v>
      </c>
      <c r="P210" s="22">
        <f t="shared" si="34"/>
        <v>1.7534999999999998</v>
      </c>
      <c r="Q210" s="22">
        <f t="shared" si="34"/>
        <v>2.3380000000000001</v>
      </c>
      <c r="R210" s="22">
        <f t="shared" si="34"/>
        <v>2.3380000000000001</v>
      </c>
      <c r="S210" s="22">
        <f t="shared" si="34"/>
        <v>1.0520999999999998</v>
      </c>
      <c r="T210" s="22">
        <f t="shared" si="34"/>
        <v>1.0520999999999998</v>
      </c>
      <c r="U210" s="22">
        <f t="shared" si="34"/>
        <v>1.7534999999999998</v>
      </c>
      <c r="V210" s="22">
        <f t="shared" si="33"/>
        <v>2.3380000000000001</v>
      </c>
      <c r="W210" s="22">
        <f t="shared" si="33"/>
        <v>1.7534999999999998</v>
      </c>
      <c r="X210" s="22">
        <f t="shared" si="33"/>
        <v>1.169</v>
      </c>
      <c r="Y210" s="22">
        <f t="shared" si="33"/>
        <v>0.58450000000000002</v>
      </c>
      <c r="Z210" s="22">
        <f t="shared" si="33"/>
        <v>1.169</v>
      </c>
    </row>
    <row r="211" spans="1:26" x14ac:dyDescent="0.3">
      <c r="A211" s="22">
        <f t="shared" si="28"/>
        <v>518.94674999999995</v>
      </c>
      <c r="B211" s="22">
        <f t="shared" si="29"/>
        <v>103.78935</v>
      </c>
      <c r="C211" s="22">
        <f t="shared" si="30"/>
        <v>415.1574</v>
      </c>
      <c r="D211" s="25" t="s">
        <v>0</v>
      </c>
      <c r="E211" s="25" t="s">
        <v>471</v>
      </c>
      <c r="F211" s="17" t="s">
        <v>297</v>
      </c>
      <c r="G211" s="22">
        <v>141.21</v>
      </c>
      <c r="H211" s="16">
        <v>0.05</v>
      </c>
      <c r="I211" s="22">
        <f t="shared" si="31"/>
        <v>7.0605000000000011</v>
      </c>
      <c r="J211" s="22">
        <f t="shared" si="32"/>
        <v>148.2705</v>
      </c>
      <c r="K211" s="22">
        <f t="shared" si="34"/>
        <v>14.121000000000002</v>
      </c>
      <c r="L211" s="22">
        <f t="shared" si="34"/>
        <v>8.4725999999999999</v>
      </c>
      <c r="M211" s="22">
        <f t="shared" si="34"/>
        <v>8.4725999999999999</v>
      </c>
      <c r="N211" s="22">
        <f t="shared" si="34"/>
        <v>12.7089</v>
      </c>
      <c r="O211" s="22">
        <f t="shared" si="34"/>
        <v>14.121000000000002</v>
      </c>
      <c r="P211" s="22">
        <f t="shared" si="34"/>
        <v>21.1815</v>
      </c>
      <c r="Q211" s="22">
        <f t="shared" si="34"/>
        <v>28.242000000000004</v>
      </c>
      <c r="R211" s="22">
        <f t="shared" si="34"/>
        <v>28.242000000000004</v>
      </c>
      <c r="S211" s="22">
        <f t="shared" si="34"/>
        <v>12.7089</v>
      </c>
      <c r="T211" s="22">
        <f t="shared" si="34"/>
        <v>12.7089</v>
      </c>
      <c r="U211" s="22">
        <f t="shared" si="34"/>
        <v>21.1815</v>
      </c>
      <c r="V211" s="22">
        <f t="shared" si="33"/>
        <v>28.242000000000004</v>
      </c>
      <c r="W211" s="22">
        <f t="shared" si="33"/>
        <v>21.1815</v>
      </c>
      <c r="X211" s="22">
        <f t="shared" si="33"/>
        <v>14.121000000000002</v>
      </c>
      <c r="Y211" s="22">
        <f t="shared" si="33"/>
        <v>7.0605000000000011</v>
      </c>
      <c r="Z211" s="22">
        <f t="shared" si="33"/>
        <v>14.121000000000002</v>
      </c>
    </row>
    <row r="212" spans="1:26" x14ac:dyDescent="0.3">
      <c r="A212" s="22">
        <f t="shared" si="28"/>
        <v>45.680250000000001</v>
      </c>
      <c r="B212" s="22">
        <f t="shared" si="29"/>
        <v>9.1360500000000009</v>
      </c>
      <c r="C212" s="22">
        <f t="shared" si="30"/>
        <v>36.544200000000004</v>
      </c>
      <c r="D212" s="25" t="s">
        <v>0</v>
      </c>
      <c r="E212" s="25" t="s">
        <v>471</v>
      </c>
      <c r="F212" s="17" t="s">
        <v>335</v>
      </c>
      <c r="G212" s="22">
        <v>12.43</v>
      </c>
      <c r="H212" s="16">
        <v>0.05</v>
      </c>
      <c r="I212" s="22">
        <f t="shared" si="31"/>
        <v>0.62150000000000005</v>
      </c>
      <c r="J212" s="22">
        <f t="shared" si="32"/>
        <v>13.051499999999999</v>
      </c>
      <c r="K212" s="22">
        <f t="shared" si="34"/>
        <v>1.2430000000000001</v>
      </c>
      <c r="L212" s="22">
        <f t="shared" si="34"/>
        <v>0.74579999999999991</v>
      </c>
      <c r="M212" s="22">
        <f t="shared" si="34"/>
        <v>0.74579999999999991</v>
      </c>
      <c r="N212" s="22">
        <f t="shared" si="34"/>
        <v>1.1187</v>
      </c>
      <c r="O212" s="22">
        <f t="shared" si="34"/>
        <v>1.2430000000000001</v>
      </c>
      <c r="P212" s="22">
        <f t="shared" si="34"/>
        <v>1.8644999999999998</v>
      </c>
      <c r="Q212" s="22">
        <f t="shared" si="34"/>
        <v>2.4860000000000002</v>
      </c>
      <c r="R212" s="22">
        <f t="shared" si="34"/>
        <v>2.4860000000000002</v>
      </c>
      <c r="S212" s="22">
        <f t="shared" si="34"/>
        <v>1.1187</v>
      </c>
      <c r="T212" s="22">
        <f t="shared" si="34"/>
        <v>1.1187</v>
      </c>
      <c r="U212" s="22">
        <f t="shared" si="34"/>
        <v>1.8644999999999998</v>
      </c>
      <c r="V212" s="22">
        <f t="shared" si="33"/>
        <v>2.4860000000000002</v>
      </c>
      <c r="W212" s="22">
        <f t="shared" si="33"/>
        <v>1.8644999999999998</v>
      </c>
      <c r="X212" s="22">
        <f t="shared" si="33"/>
        <v>1.2430000000000001</v>
      </c>
      <c r="Y212" s="22">
        <f t="shared" si="33"/>
        <v>0.62150000000000005</v>
      </c>
      <c r="Z212" s="22">
        <f t="shared" si="33"/>
        <v>1.2430000000000001</v>
      </c>
    </row>
    <row r="213" spans="1:26" x14ac:dyDescent="0.3">
      <c r="A213" s="22">
        <f t="shared" si="28"/>
        <v>122.37749999999998</v>
      </c>
      <c r="B213" s="22">
        <f t="shared" si="29"/>
        <v>24.475499999999997</v>
      </c>
      <c r="C213" s="22">
        <f t="shared" si="30"/>
        <v>97.901999999999987</v>
      </c>
      <c r="D213" s="25" t="s">
        <v>0</v>
      </c>
      <c r="E213" s="25" t="s">
        <v>471</v>
      </c>
      <c r="F213" s="17" t="s">
        <v>342</v>
      </c>
      <c r="G213" s="22">
        <v>33.299999999999997</v>
      </c>
      <c r="H213" s="16">
        <v>0.05</v>
      </c>
      <c r="I213" s="22">
        <f t="shared" si="31"/>
        <v>1.665</v>
      </c>
      <c r="J213" s="22">
        <f t="shared" si="32"/>
        <v>34.964999999999996</v>
      </c>
      <c r="K213" s="22">
        <f t="shared" si="34"/>
        <v>3.33</v>
      </c>
      <c r="L213" s="22">
        <f t="shared" si="34"/>
        <v>1.9979999999999998</v>
      </c>
      <c r="M213" s="22">
        <f t="shared" si="34"/>
        <v>1.9979999999999998</v>
      </c>
      <c r="N213" s="22">
        <f t="shared" si="34"/>
        <v>2.9969999999999994</v>
      </c>
      <c r="O213" s="22">
        <f t="shared" si="34"/>
        <v>3.33</v>
      </c>
      <c r="P213" s="22">
        <f t="shared" si="34"/>
        <v>4.9949999999999992</v>
      </c>
      <c r="Q213" s="22">
        <f t="shared" si="34"/>
        <v>6.66</v>
      </c>
      <c r="R213" s="22">
        <f t="shared" si="34"/>
        <v>6.66</v>
      </c>
      <c r="S213" s="22">
        <f t="shared" si="34"/>
        <v>2.9969999999999994</v>
      </c>
      <c r="T213" s="22">
        <f t="shared" si="34"/>
        <v>2.9969999999999994</v>
      </c>
      <c r="U213" s="22">
        <f t="shared" si="34"/>
        <v>4.9949999999999992</v>
      </c>
      <c r="V213" s="22">
        <f t="shared" si="33"/>
        <v>6.66</v>
      </c>
      <c r="W213" s="22">
        <f t="shared" si="33"/>
        <v>4.9949999999999992</v>
      </c>
      <c r="X213" s="22">
        <f t="shared" si="33"/>
        <v>3.33</v>
      </c>
      <c r="Y213" s="22">
        <f t="shared" si="33"/>
        <v>1.665</v>
      </c>
      <c r="Z213" s="22">
        <f t="shared" si="33"/>
        <v>3.33</v>
      </c>
    </row>
    <row r="214" spans="1:26" x14ac:dyDescent="0.3">
      <c r="A214" s="22">
        <f t="shared" si="28"/>
        <v>33.920250000000003</v>
      </c>
      <c r="B214" s="22">
        <f t="shared" si="29"/>
        <v>6.7840500000000006</v>
      </c>
      <c r="C214" s="22">
        <f t="shared" si="30"/>
        <v>27.136200000000002</v>
      </c>
      <c r="D214" s="25" t="s">
        <v>0</v>
      </c>
      <c r="E214" s="25" t="s">
        <v>471</v>
      </c>
      <c r="F214" s="17" t="s">
        <v>298</v>
      </c>
      <c r="G214" s="22">
        <v>9.23</v>
      </c>
      <c r="H214" s="16">
        <v>0.05</v>
      </c>
      <c r="I214" s="22">
        <f t="shared" si="31"/>
        <v>0.46150000000000002</v>
      </c>
      <c r="J214" s="22">
        <f t="shared" si="32"/>
        <v>9.6915000000000013</v>
      </c>
      <c r="K214" s="22">
        <f t="shared" si="34"/>
        <v>0.92300000000000004</v>
      </c>
      <c r="L214" s="22">
        <f t="shared" si="34"/>
        <v>0.55379999999999996</v>
      </c>
      <c r="M214" s="22">
        <f t="shared" si="34"/>
        <v>0.55379999999999996</v>
      </c>
      <c r="N214" s="22">
        <f t="shared" si="34"/>
        <v>0.83069999999999999</v>
      </c>
      <c r="O214" s="22">
        <f t="shared" si="34"/>
        <v>0.92300000000000004</v>
      </c>
      <c r="P214" s="22">
        <f t="shared" si="34"/>
        <v>1.3845000000000001</v>
      </c>
      <c r="Q214" s="22">
        <f t="shared" si="34"/>
        <v>1.8460000000000001</v>
      </c>
      <c r="R214" s="22">
        <f t="shared" si="34"/>
        <v>1.8460000000000001</v>
      </c>
      <c r="S214" s="22">
        <f t="shared" si="34"/>
        <v>0.83069999999999999</v>
      </c>
      <c r="T214" s="22">
        <f t="shared" si="34"/>
        <v>0.83069999999999999</v>
      </c>
      <c r="U214" s="22">
        <f t="shared" si="34"/>
        <v>1.3845000000000001</v>
      </c>
      <c r="V214" s="22">
        <f t="shared" si="33"/>
        <v>1.8460000000000001</v>
      </c>
      <c r="W214" s="22">
        <f t="shared" si="33"/>
        <v>1.3845000000000001</v>
      </c>
      <c r="X214" s="22">
        <f t="shared" si="33"/>
        <v>0.92300000000000004</v>
      </c>
      <c r="Y214" s="22">
        <f t="shared" si="33"/>
        <v>0.46150000000000002</v>
      </c>
      <c r="Z214" s="22">
        <f t="shared" si="33"/>
        <v>0.92300000000000004</v>
      </c>
    </row>
    <row r="215" spans="1:26" x14ac:dyDescent="0.3">
      <c r="A215" s="22">
        <f t="shared" si="28"/>
        <v>1049.3962499999998</v>
      </c>
      <c r="B215" s="22">
        <f t="shared" si="29"/>
        <v>209.87924999999996</v>
      </c>
      <c r="C215" s="22">
        <f t="shared" si="30"/>
        <v>839.51699999999983</v>
      </c>
      <c r="D215" s="25" t="s">
        <v>0</v>
      </c>
      <c r="E215" s="25" t="s">
        <v>471</v>
      </c>
      <c r="F215" s="17" t="s">
        <v>245</v>
      </c>
      <c r="G215" s="22">
        <v>285.55</v>
      </c>
      <c r="H215" s="16">
        <v>0.05</v>
      </c>
      <c r="I215" s="22">
        <f t="shared" si="31"/>
        <v>14.277500000000002</v>
      </c>
      <c r="J215" s="22">
        <f t="shared" si="32"/>
        <v>299.82749999999999</v>
      </c>
      <c r="K215" s="22">
        <f t="shared" si="34"/>
        <v>28.555000000000003</v>
      </c>
      <c r="L215" s="22">
        <f t="shared" si="34"/>
        <v>17.132999999999999</v>
      </c>
      <c r="M215" s="22">
        <f t="shared" si="34"/>
        <v>17.132999999999999</v>
      </c>
      <c r="N215" s="22">
        <f t="shared" si="34"/>
        <v>25.6995</v>
      </c>
      <c r="O215" s="22">
        <f t="shared" si="34"/>
        <v>28.555000000000003</v>
      </c>
      <c r="P215" s="22">
        <f t="shared" si="34"/>
        <v>42.832500000000003</v>
      </c>
      <c r="Q215" s="22">
        <f t="shared" si="34"/>
        <v>57.110000000000007</v>
      </c>
      <c r="R215" s="22">
        <f t="shared" si="34"/>
        <v>57.110000000000007</v>
      </c>
      <c r="S215" s="22">
        <f t="shared" si="34"/>
        <v>25.6995</v>
      </c>
      <c r="T215" s="22">
        <f t="shared" si="34"/>
        <v>25.6995</v>
      </c>
      <c r="U215" s="22">
        <f t="shared" si="34"/>
        <v>42.832500000000003</v>
      </c>
      <c r="V215" s="22">
        <f t="shared" si="33"/>
        <v>57.110000000000007</v>
      </c>
      <c r="W215" s="22">
        <f t="shared" si="33"/>
        <v>42.832500000000003</v>
      </c>
      <c r="X215" s="22">
        <f t="shared" si="33"/>
        <v>28.555000000000003</v>
      </c>
      <c r="Y215" s="22">
        <f t="shared" si="33"/>
        <v>14.277500000000002</v>
      </c>
      <c r="Z215" s="22">
        <f t="shared" si="33"/>
        <v>28.555000000000003</v>
      </c>
    </row>
    <row r="216" spans="1:26" x14ac:dyDescent="0.3">
      <c r="A216" s="22">
        <f t="shared" si="28"/>
        <v>209.87925000000001</v>
      </c>
      <c r="B216" s="22">
        <f t="shared" si="29"/>
        <v>41.975850000000001</v>
      </c>
      <c r="C216" s="22">
        <f t="shared" si="30"/>
        <v>167.9034</v>
      </c>
      <c r="D216" s="25" t="s">
        <v>0</v>
      </c>
      <c r="E216" s="25" t="s">
        <v>471</v>
      </c>
      <c r="F216" s="17" t="s">
        <v>246</v>
      </c>
      <c r="G216" s="22">
        <v>57.11</v>
      </c>
      <c r="H216" s="16">
        <v>0.05</v>
      </c>
      <c r="I216" s="22">
        <f t="shared" si="31"/>
        <v>2.8555000000000001</v>
      </c>
      <c r="J216" s="22">
        <f t="shared" si="32"/>
        <v>59.965499999999999</v>
      </c>
      <c r="K216" s="22">
        <f t="shared" si="34"/>
        <v>5.7110000000000003</v>
      </c>
      <c r="L216" s="22">
        <f t="shared" si="34"/>
        <v>3.4265999999999996</v>
      </c>
      <c r="M216" s="22">
        <f t="shared" si="34"/>
        <v>3.4265999999999996</v>
      </c>
      <c r="N216" s="22">
        <f t="shared" si="34"/>
        <v>5.1398999999999999</v>
      </c>
      <c r="O216" s="22">
        <f t="shared" si="34"/>
        <v>5.7110000000000003</v>
      </c>
      <c r="P216" s="22">
        <f t="shared" si="34"/>
        <v>8.5664999999999996</v>
      </c>
      <c r="Q216" s="22">
        <f t="shared" si="34"/>
        <v>11.422000000000001</v>
      </c>
      <c r="R216" s="22">
        <f t="shared" si="34"/>
        <v>11.422000000000001</v>
      </c>
      <c r="S216" s="22">
        <f t="shared" si="34"/>
        <v>5.1398999999999999</v>
      </c>
      <c r="T216" s="22">
        <f t="shared" si="34"/>
        <v>5.1398999999999999</v>
      </c>
      <c r="U216" s="22">
        <f t="shared" si="34"/>
        <v>8.5664999999999996</v>
      </c>
      <c r="V216" s="22">
        <f t="shared" si="33"/>
        <v>11.422000000000001</v>
      </c>
      <c r="W216" s="22">
        <f t="shared" si="33"/>
        <v>8.5664999999999996</v>
      </c>
      <c r="X216" s="22">
        <f t="shared" si="33"/>
        <v>5.7110000000000003</v>
      </c>
      <c r="Y216" s="22">
        <f t="shared" si="33"/>
        <v>2.8555000000000001</v>
      </c>
      <c r="Z216" s="22">
        <f t="shared" si="33"/>
        <v>5.7110000000000003</v>
      </c>
    </row>
    <row r="217" spans="1:26" x14ac:dyDescent="0.3">
      <c r="A217" s="22">
        <f t="shared" si="28"/>
        <v>836.0625</v>
      </c>
      <c r="B217" s="22">
        <f t="shared" si="29"/>
        <v>167.21250000000001</v>
      </c>
      <c r="C217" s="22">
        <f t="shared" si="30"/>
        <v>668.85</v>
      </c>
      <c r="D217" s="25" t="s">
        <v>0</v>
      </c>
      <c r="E217" s="25" t="s">
        <v>471</v>
      </c>
      <c r="F217" s="17" t="s">
        <v>219</v>
      </c>
      <c r="G217" s="22">
        <v>227.5</v>
      </c>
      <c r="H217" s="16">
        <v>0.05</v>
      </c>
      <c r="I217" s="22">
        <f t="shared" si="31"/>
        <v>11.375</v>
      </c>
      <c r="J217" s="22">
        <f t="shared" si="32"/>
        <v>238.875</v>
      </c>
      <c r="K217" s="22">
        <f t="shared" si="34"/>
        <v>22.75</v>
      </c>
      <c r="L217" s="22">
        <f t="shared" si="34"/>
        <v>13.65</v>
      </c>
      <c r="M217" s="22">
        <f t="shared" si="34"/>
        <v>13.65</v>
      </c>
      <c r="N217" s="22">
        <f t="shared" si="34"/>
        <v>20.474999999999998</v>
      </c>
      <c r="O217" s="22">
        <f t="shared" si="34"/>
        <v>22.75</v>
      </c>
      <c r="P217" s="22">
        <f t="shared" si="34"/>
        <v>34.125</v>
      </c>
      <c r="Q217" s="22">
        <f t="shared" si="34"/>
        <v>45.5</v>
      </c>
      <c r="R217" s="22">
        <f t="shared" si="34"/>
        <v>45.5</v>
      </c>
      <c r="S217" s="22">
        <f t="shared" si="34"/>
        <v>20.474999999999998</v>
      </c>
      <c r="T217" s="22">
        <f t="shared" si="34"/>
        <v>20.474999999999998</v>
      </c>
      <c r="U217" s="22">
        <f t="shared" si="34"/>
        <v>34.125</v>
      </c>
      <c r="V217" s="22">
        <f t="shared" si="33"/>
        <v>45.5</v>
      </c>
      <c r="W217" s="22">
        <f t="shared" si="33"/>
        <v>34.125</v>
      </c>
      <c r="X217" s="22">
        <f t="shared" si="33"/>
        <v>22.75</v>
      </c>
      <c r="Y217" s="22">
        <f t="shared" si="33"/>
        <v>11.375</v>
      </c>
      <c r="Z217" s="22">
        <f t="shared" si="33"/>
        <v>22.75</v>
      </c>
    </row>
    <row r="218" spans="1:26" x14ac:dyDescent="0.3">
      <c r="A218" s="22">
        <f t="shared" si="28"/>
        <v>167.21249999999998</v>
      </c>
      <c r="B218" s="22">
        <f t="shared" si="29"/>
        <v>33.442499999999995</v>
      </c>
      <c r="C218" s="22">
        <f t="shared" si="30"/>
        <v>133.76999999999998</v>
      </c>
      <c r="D218" s="25" t="s">
        <v>0</v>
      </c>
      <c r="E218" s="25" t="s">
        <v>471</v>
      </c>
      <c r="F218" s="17" t="s">
        <v>220</v>
      </c>
      <c r="G218" s="22">
        <v>45.5</v>
      </c>
      <c r="H218" s="16">
        <v>0.05</v>
      </c>
      <c r="I218" s="22">
        <f t="shared" si="31"/>
        <v>2.2749999999999999</v>
      </c>
      <c r="J218" s="22">
        <f t="shared" si="32"/>
        <v>47.774999999999999</v>
      </c>
      <c r="K218" s="22">
        <f t="shared" si="34"/>
        <v>4.55</v>
      </c>
      <c r="L218" s="22">
        <f t="shared" si="34"/>
        <v>2.73</v>
      </c>
      <c r="M218" s="22">
        <f t="shared" si="34"/>
        <v>2.73</v>
      </c>
      <c r="N218" s="22">
        <f t="shared" si="34"/>
        <v>4.0949999999999998</v>
      </c>
      <c r="O218" s="22">
        <f t="shared" si="34"/>
        <v>4.55</v>
      </c>
      <c r="P218" s="22">
        <f t="shared" si="34"/>
        <v>6.8250000000000002</v>
      </c>
      <c r="Q218" s="22">
        <f t="shared" si="34"/>
        <v>9.1</v>
      </c>
      <c r="R218" s="22">
        <f t="shared" si="34"/>
        <v>9.1</v>
      </c>
      <c r="S218" s="22">
        <f t="shared" si="34"/>
        <v>4.0949999999999998</v>
      </c>
      <c r="T218" s="22">
        <f t="shared" si="34"/>
        <v>4.0949999999999998</v>
      </c>
      <c r="U218" s="22">
        <f t="shared" si="34"/>
        <v>6.8250000000000002</v>
      </c>
      <c r="V218" s="22">
        <f t="shared" si="33"/>
        <v>9.1</v>
      </c>
      <c r="W218" s="22">
        <f t="shared" si="33"/>
        <v>6.8250000000000002</v>
      </c>
      <c r="X218" s="22">
        <f t="shared" si="33"/>
        <v>4.55</v>
      </c>
      <c r="Y218" s="22">
        <f t="shared" si="33"/>
        <v>2.2749999999999999</v>
      </c>
      <c r="Z218" s="22">
        <f t="shared" si="33"/>
        <v>4.55</v>
      </c>
    </row>
    <row r="219" spans="1:26" x14ac:dyDescent="0.3">
      <c r="A219" s="22">
        <f t="shared" si="28"/>
        <v>974.24250000000006</v>
      </c>
      <c r="B219" s="22">
        <f t="shared" si="29"/>
        <v>194.8485</v>
      </c>
      <c r="C219" s="22">
        <f t="shared" si="30"/>
        <v>779.39400000000001</v>
      </c>
      <c r="D219" s="25" t="s">
        <v>0</v>
      </c>
      <c r="E219" s="25" t="s">
        <v>471</v>
      </c>
      <c r="F219" s="17" t="s">
        <v>247</v>
      </c>
      <c r="G219" s="22">
        <v>265.10000000000002</v>
      </c>
      <c r="H219" s="16">
        <v>0.05</v>
      </c>
      <c r="I219" s="22">
        <f t="shared" si="31"/>
        <v>13.255000000000003</v>
      </c>
      <c r="J219" s="22">
        <f t="shared" si="32"/>
        <v>278.35500000000002</v>
      </c>
      <c r="K219" s="22">
        <f t="shared" si="34"/>
        <v>26.510000000000005</v>
      </c>
      <c r="L219" s="22">
        <f t="shared" si="34"/>
        <v>15.906000000000001</v>
      </c>
      <c r="M219" s="22">
        <f t="shared" si="34"/>
        <v>15.906000000000001</v>
      </c>
      <c r="N219" s="22">
        <f t="shared" si="34"/>
        <v>23.859000000000002</v>
      </c>
      <c r="O219" s="22">
        <f t="shared" si="34"/>
        <v>26.510000000000005</v>
      </c>
      <c r="P219" s="22">
        <f t="shared" si="34"/>
        <v>39.765000000000001</v>
      </c>
      <c r="Q219" s="22">
        <f t="shared" si="34"/>
        <v>53.02000000000001</v>
      </c>
      <c r="R219" s="22">
        <f t="shared" si="34"/>
        <v>53.02000000000001</v>
      </c>
      <c r="S219" s="22">
        <f t="shared" si="34"/>
        <v>23.859000000000002</v>
      </c>
      <c r="T219" s="22">
        <f t="shared" si="34"/>
        <v>23.859000000000002</v>
      </c>
      <c r="U219" s="22">
        <f t="shared" si="34"/>
        <v>39.765000000000001</v>
      </c>
      <c r="V219" s="22">
        <f t="shared" si="33"/>
        <v>53.02000000000001</v>
      </c>
      <c r="W219" s="22">
        <f t="shared" si="33"/>
        <v>39.765000000000001</v>
      </c>
      <c r="X219" s="22">
        <f t="shared" si="33"/>
        <v>26.510000000000005</v>
      </c>
      <c r="Y219" s="22">
        <f t="shared" si="33"/>
        <v>13.255000000000003</v>
      </c>
      <c r="Z219" s="22">
        <f t="shared" si="33"/>
        <v>26.510000000000005</v>
      </c>
    </row>
    <row r="220" spans="1:26" x14ac:dyDescent="0.3">
      <c r="A220" s="22">
        <f t="shared" si="28"/>
        <v>194.8485</v>
      </c>
      <c r="B220" s="22">
        <f t="shared" si="29"/>
        <v>38.969700000000003</v>
      </c>
      <c r="C220" s="22">
        <f t="shared" si="30"/>
        <v>155.87880000000001</v>
      </c>
      <c r="D220" s="25" t="s">
        <v>0</v>
      </c>
      <c r="E220" s="25" t="s">
        <v>471</v>
      </c>
      <c r="F220" s="17" t="s">
        <v>248</v>
      </c>
      <c r="G220" s="22">
        <v>53.02</v>
      </c>
      <c r="H220" s="16">
        <v>0.05</v>
      </c>
      <c r="I220" s="22">
        <f t="shared" si="31"/>
        <v>2.6510000000000002</v>
      </c>
      <c r="J220" s="22">
        <f t="shared" si="32"/>
        <v>55.671000000000006</v>
      </c>
      <c r="K220" s="22">
        <f t="shared" si="34"/>
        <v>5.3020000000000005</v>
      </c>
      <c r="L220" s="22">
        <f t="shared" si="34"/>
        <v>3.1812</v>
      </c>
      <c r="M220" s="22">
        <f t="shared" si="34"/>
        <v>3.1812</v>
      </c>
      <c r="N220" s="22">
        <f t="shared" si="34"/>
        <v>4.7717999999999998</v>
      </c>
      <c r="O220" s="22">
        <f t="shared" si="34"/>
        <v>5.3020000000000005</v>
      </c>
      <c r="P220" s="22">
        <f t="shared" si="34"/>
        <v>7.9530000000000003</v>
      </c>
      <c r="Q220" s="22">
        <f t="shared" si="34"/>
        <v>10.604000000000001</v>
      </c>
      <c r="R220" s="22">
        <f t="shared" si="34"/>
        <v>10.604000000000001</v>
      </c>
      <c r="S220" s="22">
        <f t="shared" si="34"/>
        <v>4.7717999999999998</v>
      </c>
      <c r="T220" s="22">
        <f t="shared" si="34"/>
        <v>4.7717999999999998</v>
      </c>
      <c r="U220" s="22">
        <f t="shared" si="34"/>
        <v>7.9530000000000003</v>
      </c>
      <c r="V220" s="22">
        <f t="shared" si="33"/>
        <v>10.604000000000001</v>
      </c>
      <c r="W220" s="22">
        <f t="shared" si="33"/>
        <v>7.9530000000000003</v>
      </c>
      <c r="X220" s="22">
        <f t="shared" si="33"/>
        <v>5.3020000000000005</v>
      </c>
      <c r="Y220" s="22">
        <f t="shared" si="33"/>
        <v>2.6510000000000002</v>
      </c>
      <c r="Z220" s="22">
        <f t="shared" si="33"/>
        <v>5.3020000000000005</v>
      </c>
    </row>
    <row r="221" spans="1:26" x14ac:dyDescent="0.3">
      <c r="A221" s="22">
        <f t="shared" si="28"/>
        <v>15.177750000000005</v>
      </c>
      <c r="B221" s="22">
        <f t="shared" si="29"/>
        <v>3.0355500000000011</v>
      </c>
      <c r="C221" s="22">
        <f t="shared" si="30"/>
        <v>12.142200000000004</v>
      </c>
      <c r="D221" s="25" t="s">
        <v>0</v>
      </c>
      <c r="E221" s="25" t="s">
        <v>471</v>
      </c>
      <c r="F221" s="17" t="s">
        <v>266</v>
      </c>
      <c r="G221" s="22">
        <v>4.13</v>
      </c>
      <c r="H221" s="16">
        <v>0.05</v>
      </c>
      <c r="I221" s="22">
        <f t="shared" si="31"/>
        <v>0.20650000000000002</v>
      </c>
      <c r="J221" s="22">
        <f t="shared" si="32"/>
        <v>4.3365</v>
      </c>
      <c r="K221" s="22">
        <f t="shared" si="34"/>
        <v>0.41300000000000003</v>
      </c>
      <c r="L221" s="22">
        <f t="shared" si="34"/>
        <v>0.24779999999999999</v>
      </c>
      <c r="M221" s="22">
        <f t="shared" si="34"/>
        <v>0.24779999999999999</v>
      </c>
      <c r="N221" s="22">
        <f t="shared" si="34"/>
        <v>0.37169999999999997</v>
      </c>
      <c r="O221" s="22">
        <f t="shared" si="34"/>
        <v>0.41300000000000003</v>
      </c>
      <c r="P221" s="22">
        <f t="shared" si="34"/>
        <v>0.61949999999999994</v>
      </c>
      <c r="Q221" s="22">
        <f t="shared" si="34"/>
        <v>0.82600000000000007</v>
      </c>
      <c r="R221" s="22">
        <f t="shared" si="34"/>
        <v>0.82600000000000007</v>
      </c>
      <c r="S221" s="22">
        <f t="shared" si="34"/>
        <v>0.37169999999999997</v>
      </c>
      <c r="T221" s="22">
        <f t="shared" si="34"/>
        <v>0.37169999999999997</v>
      </c>
      <c r="U221" s="22">
        <f t="shared" si="34"/>
        <v>0.61949999999999994</v>
      </c>
      <c r="V221" s="22">
        <f t="shared" si="33"/>
        <v>0.82600000000000007</v>
      </c>
      <c r="W221" s="22">
        <f t="shared" si="33"/>
        <v>0.61949999999999994</v>
      </c>
      <c r="X221" s="22">
        <f t="shared" si="33"/>
        <v>0.41300000000000003</v>
      </c>
      <c r="Y221" s="22">
        <f t="shared" si="33"/>
        <v>0.20650000000000002</v>
      </c>
      <c r="Z221" s="22">
        <f t="shared" si="33"/>
        <v>0.41300000000000003</v>
      </c>
    </row>
    <row r="222" spans="1:26" x14ac:dyDescent="0.3">
      <c r="A222" s="22">
        <f t="shared" si="28"/>
        <v>984.5324999999998</v>
      </c>
      <c r="B222" s="22">
        <f t="shared" si="29"/>
        <v>196.90649999999997</v>
      </c>
      <c r="C222" s="22">
        <f t="shared" si="30"/>
        <v>787.62599999999986</v>
      </c>
      <c r="D222" s="25" t="s">
        <v>0</v>
      </c>
      <c r="E222" s="25" t="s">
        <v>471</v>
      </c>
      <c r="F222" s="17" t="s">
        <v>267</v>
      </c>
      <c r="G222" s="22">
        <v>267.89999999999998</v>
      </c>
      <c r="H222" s="16">
        <v>0.05</v>
      </c>
      <c r="I222" s="22">
        <f t="shared" si="31"/>
        <v>13.395</v>
      </c>
      <c r="J222" s="22">
        <f t="shared" si="32"/>
        <v>281.29499999999996</v>
      </c>
      <c r="K222" s="22">
        <f t="shared" si="34"/>
        <v>26.79</v>
      </c>
      <c r="L222" s="22">
        <f t="shared" si="34"/>
        <v>16.073999999999998</v>
      </c>
      <c r="M222" s="22">
        <f t="shared" si="34"/>
        <v>16.073999999999998</v>
      </c>
      <c r="N222" s="22">
        <f t="shared" si="34"/>
        <v>24.110999999999997</v>
      </c>
      <c r="O222" s="22">
        <f t="shared" si="34"/>
        <v>26.79</v>
      </c>
      <c r="P222" s="22">
        <f t="shared" si="34"/>
        <v>40.184999999999995</v>
      </c>
      <c r="Q222" s="22">
        <f t="shared" si="34"/>
        <v>53.58</v>
      </c>
      <c r="R222" s="22">
        <f t="shared" si="34"/>
        <v>53.58</v>
      </c>
      <c r="S222" s="22">
        <f t="shared" si="34"/>
        <v>24.110999999999997</v>
      </c>
      <c r="T222" s="22">
        <f t="shared" si="34"/>
        <v>24.110999999999997</v>
      </c>
      <c r="U222" s="22">
        <f t="shared" si="34"/>
        <v>40.184999999999995</v>
      </c>
      <c r="V222" s="22">
        <f t="shared" si="33"/>
        <v>53.58</v>
      </c>
      <c r="W222" s="22">
        <f t="shared" si="33"/>
        <v>40.184999999999995</v>
      </c>
      <c r="X222" s="22">
        <f t="shared" si="33"/>
        <v>26.79</v>
      </c>
      <c r="Y222" s="22">
        <f t="shared" si="33"/>
        <v>13.395</v>
      </c>
      <c r="Z222" s="22">
        <f t="shared" si="33"/>
        <v>26.79</v>
      </c>
    </row>
    <row r="223" spans="1:26" x14ac:dyDescent="0.3">
      <c r="A223" s="22">
        <f t="shared" si="28"/>
        <v>196.90650000000005</v>
      </c>
      <c r="B223" s="22">
        <f t="shared" si="29"/>
        <v>39.38130000000001</v>
      </c>
      <c r="C223" s="22">
        <f t="shared" si="30"/>
        <v>157.52520000000004</v>
      </c>
      <c r="D223" s="25" t="s">
        <v>0</v>
      </c>
      <c r="E223" s="25" t="s">
        <v>471</v>
      </c>
      <c r="F223" s="17" t="s">
        <v>268</v>
      </c>
      <c r="G223" s="22">
        <v>53.58</v>
      </c>
      <c r="H223" s="16">
        <v>0.05</v>
      </c>
      <c r="I223" s="22">
        <f t="shared" si="31"/>
        <v>2.6790000000000003</v>
      </c>
      <c r="J223" s="22">
        <f t="shared" si="32"/>
        <v>56.259</v>
      </c>
      <c r="K223" s="22">
        <f t="shared" si="34"/>
        <v>5.3580000000000005</v>
      </c>
      <c r="L223" s="22">
        <f t="shared" si="34"/>
        <v>3.2147999999999999</v>
      </c>
      <c r="M223" s="22">
        <f t="shared" si="34"/>
        <v>3.2147999999999999</v>
      </c>
      <c r="N223" s="22">
        <f t="shared" si="34"/>
        <v>4.8221999999999996</v>
      </c>
      <c r="O223" s="22">
        <f t="shared" si="34"/>
        <v>5.3580000000000005</v>
      </c>
      <c r="P223" s="22">
        <f t="shared" si="34"/>
        <v>8.036999999999999</v>
      </c>
      <c r="Q223" s="22">
        <f t="shared" si="34"/>
        <v>10.716000000000001</v>
      </c>
      <c r="R223" s="22">
        <f t="shared" si="34"/>
        <v>10.716000000000001</v>
      </c>
      <c r="S223" s="22">
        <f t="shared" si="34"/>
        <v>4.8221999999999996</v>
      </c>
      <c r="T223" s="22">
        <f t="shared" si="34"/>
        <v>4.8221999999999996</v>
      </c>
      <c r="U223" s="22">
        <f t="shared" si="34"/>
        <v>8.036999999999999</v>
      </c>
      <c r="V223" s="22">
        <f t="shared" si="33"/>
        <v>10.716000000000001</v>
      </c>
      <c r="W223" s="22">
        <f t="shared" si="33"/>
        <v>8.036999999999999</v>
      </c>
      <c r="X223" s="22">
        <f t="shared" si="33"/>
        <v>5.3580000000000005</v>
      </c>
      <c r="Y223" s="22">
        <f t="shared" si="33"/>
        <v>2.6790000000000003</v>
      </c>
      <c r="Z223" s="22">
        <f t="shared" si="33"/>
        <v>5.3580000000000005</v>
      </c>
    </row>
    <row r="224" spans="1:26" x14ac:dyDescent="0.3">
      <c r="A224" s="22">
        <f t="shared" si="28"/>
        <v>1005.1125000000002</v>
      </c>
      <c r="B224" s="22">
        <f t="shared" si="29"/>
        <v>201.02250000000004</v>
      </c>
      <c r="C224" s="22">
        <f t="shared" si="30"/>
        <v>804.09000000000015</v>
      </c>
      <c r="D224" s="25" t="s">
        <v>0</v>
      </c>
      <c r="E224" s="25" t="s">
        <v>471</v>
      </c>
      <c r="F224" s="17" t="s">
        <v>269</v>
      </c>
      <c r="G224" s="22">
        <v>273.5</v>
      </c>
      <c r="H224" s="16">
        <v>0.05</v>
      </c>
      <c r="I224" s="22">
        <f t="shared" si="31"/>
        <v>13.675000000000001</v>
      </c>
      <c r="J224" s="22">
        <f t="shared" si="32"/>
        <v>287.17500000000001</v>
      </c>
      <c r="K224" s="22">
        <f t="shared" si="34"/>
        <v>27.35</v>
      </c>
      <c r="L224" s="22">
        <f t="shared" si="34"/>
        <v>16.41</v>
      </c>
      <c r="M224" s="22">
        <f t="shared" si="34"/>
        <v>16.41</v>
      </c>
      <c r="N224" s="22">
        <f t="shared" si="34"/>
        <v>24.614999999999998</v>
      </c>
      <c r="O224" s="22">
        <f t="shared" si="34"/>
        <v>27.35</v>
      </c>
      <c r="P224" s="22">
        <f t="shared" si="34"/>
        <v>41.024999999999999</v>
      </c>
      <c r="Q224" s="22">
        <f t="shared" si="34"/>
        <v>54.7</v>
      </c>
      <c r="R224" s="22">
        <f t="shared" si="34"/>
        <v>54.7</v>
      </c>
      <c r="S224" s="22">
        <f t="shared" si="34"/>
        <v>24.614999999999998</v>
      </c>
      <c r="T224" s="22">
        <f t="shared" si="34"/>
        <v>24.614999999999998</v>
      </c>
      <c r="U224" s="22">
        <f t="shared" si="34"/>
        <v>41.024999999999999</v>
      </c>
      <c r="V224" s="22">
        <f t="shared" si="33"/>
        <v>54.7</v>
      </c>
      <c r="W224" s="22">
        <f t="shared" si="33"/>
        <v>41.024999999999999</v>
      </c>
      <c r="X224" s="22">
        <f t="shared" si="33"/>
        <v>27.35</v>
      </c>
      <c r="Y224" s="22">
        <f t="shared" si="33"/>
        <v>13.675000000000001</v>
      </c>
      <c r="Z224" s="22">
        <f t="shared" si="33"/>
        <v>27.35</v>
      </c>
    </row>
    <row r="225" spans="1:26" x14ac:dyDescent="0.3">
      <c r="A225" s="22">
        <f t="shared" si="28"/>
        <v>193.9665</v>
      </c>
      <c r="B225" s="22">
        <f t="shared" si="29"/>
        <v>38.793300000000002</v>
      </c>
      <c r="C225" s="22">
        <f t="shared" si="30"/>
        <v>155.17320000000001</v>
      </c>
      <c r="D225" s="25" t="s">
        <v>0</v>
      </c>
      <c r="E225" s="25" t="s">
        <v>471</v>
      </c>
      <c r="F225" s="17" t="s">
        <v>278</v>
      </c>
      <c r="G225" s="22">
        <v>52.78</v>
      </c>
      <c r="H225" s="16">
        <v>0.05</v>
      </c>
      <c r="I225" s="22">
        <f t="shared" si="31"/>
        <v>2.6390000000000002</v>
      </c>
      <c r="J225" s="22">
        <f t="shared" si="32"/>
        <v>55.419000000000004</v>
      </c>
      <c r="K225" s="22">
        <f t="shared" si="34"/>
        <v>5.2780000000000005</v>
      </c>
      <c r="L225" s="22">
        <f t="shared" si="34"/>
        <v>3.1667999999999998</v>
      </c>
      <c r="M225" s="22">
        <f t="shared" si="34"/>
        <v>3.1667999999999998</v>
      </c>
      <c r="N225" s="22">
        <f t="shared" si="34"/>
        <v>4.7501999999999995</v>
      </c>
      <c r="O225" s="22">
        <f t="shared" si="34"/>
        <v>5.2780000000000005</v>
      </c>
      <c r="P225" s="22">
        <f t="shared" si="34"/>
        <v>7.9169999999999998</v>
      </c>
      <c r="Q225" s="22">
        <f t="shared" si="34"/>
        <v>10.556000000000001</v>
      </c>
      <c r="R225" s="22">
        <f t="shared" si="34"/>
        <v>10.556000000000001</v>
      </c>
      <c r="S225" s="22">
        <f t="shared" si="34"/>
        <v>4.7501999999999995</v>
      </c>
      <c r="T225" s="22">
        <f t="shared" si="34"/>
        <v>4.7501999999999995</v>
      </c>
      <c r="U225" s="22">
        <f t="shared" si="34"/>
        <v>7.9169999999999998</v>
      </c>
      <c r="V225" s="22">
        <f t="shared" si="33"/>
        <v>10.556000000000001</v>
      </c>
      <c r="W225" s="22">
        <f t="shared" si="33"/>
        <v>7.9169999999999998</v>
      </c>
      <c r="X225" s="22">
        <f t="shared" si="33"/>
        <v>5.2780000000000005</v>
      </c>
      <c r="Y225" s="22">
        <f t="shared" si="33"/>
        <v>2.6390000000000002</v>
      </c>
      <c r="Z225" s="22">
        <f t="shared" si="33"/>
        <v>5.2780000000000005</v>
      </c>
    </row>
    <row r="226" spans="1:26" x14ac:dyDescent="0.3">
      <c r="A226" s="22">
        <f t="shared" si="28"/>
        <v>1008.0524999999999</v>
      </c>
      <c r="B226" s="22">
        <f t="shared" si="29"/>
        <v>201.61049999999997</v>
      </c>
      <c r="C226" s="22">
        <f t="shared" si="30"/>
        <v>806.44199999999989</v>
      </c>
      <c r="D226" s="25" t="s">
        <v>0</v>
      </c>
      <c r="E226" s="25" t="s">
        <v>471</v>
      </c>
      <c r="F226" s="17" t="s">
        <v>279</v>
      </c>
      <c r="G226" s="22">
        <v>274.3</v>
      </c>
      <c r="H226" s="16">
        <v>0.05</v>
      </c>
      <c r="I226" s="22">
        <f t="shared" si="31"/>
        <v>13.715000000000002</v>
      </c>
      <c r="J226" s="22">
        <f t="shared" si="32"/>
        <v>288.01499999999999</v>
      </c>
      <c r="K226" s="22">
        <f t="shared" si="34"/>
        <v>27.430000000000003</v>
      </c>
      <c r="L226" s="22">
        <f t="shared" si="34"/>
        <v>16.457999999999998</v>
      </c>
      <c r="M226" s="22">
        <f t="shared" si="34"/>
        <v>16.457999999999998</v>
      </c>
      <c r="N226" s="22">
        <f t="shared" si="34"/>
        <v>24.687000000000001</v>
      </c>
      <c r="O226" s="22">
        <f t="shared" si="34"/>
        <v>27.430000000000003</v>
      </c>
      <c r="P226" s="22">
        <f t="shared" si="34"/>
        <v>41.145000000000003</v>
      </c>
      <c r="Q226" s="22">
        <f t="shared" si="34"/>
        <v>54.860000000000007</v>
      </c>
      <c r="R226" s="22">
        <f t="shared" si="34"/>
        <v>54.860000000000007</v>
      </c>
      <c r="S226" s="22">
        <f t="shared" si="34"/>
        <v>24.687000000000001</v>
      </c>
      <c r="T226" s="22">
        <f t="shared" si="34"/>
        <v>24.687000000000001</v>
      </c>
      <c r="U226" s="22">
        <f t="shared" si="34"/>
        <v>41.145000000000003</v>
      </c>
      <c r="V226" s="22">
        <f t="shared" si="33"/>
        <v>54.860000000000007</v>
      </c>
      <c r="W226" s="22">
        <f t="shared" si="33"/>
        <v>41.145000000000003</v>
      </c>
      <c r="X226" s="22">
        <f t="shared" si="33"/>
        <v>27.430000000000003</v>
      </c>
      <c r="Y226" s="22">
        <f t="shared" si="33"/>
        <v>13.715000000000002</v>
      </c>
      <c r="Z226" s="22">
        <f t="shared" si="33"/>
        <v>27.430000000000003</v>
      </c>
    </row>
    <row r="227" spans="1:26" x14ac:dyDescent="0.3">
      <c r="A227" s="22">
        <f t="shared" si="28"/>
        <v>201.61050000000003</v>
      </c>
      <c r="B227" s="22">
        <f t="shared" si="29"/>
        <v>40.322100000000006</v>
      </c>
      <c r="C227" s="22">
        <f t="shared" si="30"/>
        <v>161.28840000000002</v>
      </c>
      <c r="D227" s="25" t="s">
        <v>0</v>
      </c>
      <c r="E227" s="25" t="s">
        <v>471</v>
      </c>
      <c r="F227" s="17" t="s">
        <v>280</v>
      </c>
      <c r="G227" s="22">
        <v>54.86</v>
      </c>
      <c r="H227" s="16">
        <v>0.05</v>
      </c>
      <c r="I227" s="22">
        <f t="shared" si="31"/>
        <v>2.7430000000000003</v>
      </c>
      <c r="J227" s="22">
        <f t="shared" si="32"/>
        <v>57.603000000000002</v>
      </c>
      <c r="K227" s="22">
        <f t="shared" si="34"/>
        <v>5.4860000000000007</v>
      </c>
      <c r="L227" s="22">
        <f t="shared" si="34"/>
        <v>3.2915999999999999</v>
      </c>
      <c r="M227" s="22">
        <f t="shared" ref="M227:U238" si="35">$G227*M$1</f>
        <v>3.2915999999999999</v>
      </c>
      <c r="N227" s="22">
        <f t="shared" si="35"/>
        <v>4.9373999999999993</v>
      </c>
      <c r="O227" s="22">
        <f t="shared" si="35"/>
        <v>5.4860000000000007</v>
      </c>
      <c r="P227" s="22">
        <f t="shared" si="35"/>
        <v>8.2289999999999992</v>
      </c>
      <c r="Q227" s="22">
        <f t="shared" si="35"/>
        <v>10.972000000000001</v>
      </c>
      <c r="R227" s="22">
        <f t="shared" si="35"/>
        <v>10.972000000000001</v>
      </c>
      <c r="S227" s="22">
        <f t="shared" si="35"/>
        <v>4.9373999999999993</v>
      </c>
      <c r="T227" s="22">
        <f t="shared" si="35"/>
        <v>4.9373999999999993</v>
      </c>
      <c r="U227" s="22">
        <f t="shared" si="35"/>
        <v>8.2289999999999992</v>
      </c>
      <c r="V227" s="22">
        <f t="shared" si="33"/>
        <v>10.972000000000001</v>
      </c>
      <c r="W227" s="22">
        <f t="shared" si="33"/>
        <v>8.2289999999999992</v>
      </c>
      <c r="X227" s="22">
        <f t="shared" si="33"/>
        <v>5.4860000000000007</v>
      </c>
      <c r="Y227" s="22">
        <f t="shared" si="33"/>
        <v>2.7430000000000003</v>
      </c>
      <c r="Z227" s="22">
        <f t="shared" si="33"/>
        <v>5.4860000000000007</v>
      </c>
    </row>
    <row r="228" spans="1:26" x14ac:dyDescent="0.3">
      <c r="A228" s="22">
        <f t="shared" si="28"/>
        <v>1200.2550000000001</v>
      </c>
      <c r="B228" s="22">
        <f t="shared" si="29"/>
        <v>240.05100000000004</v>
      </c>
      <c r="C228" s="22">
        <f t="shared" si="30"/>
        <v>960.20400000000018</v>
      </c>
      <c r="D228" s="25" t="s">
        <v>0</v>
      </c>
      <c r="E228" s="25" t="s">
        <v>471</v>
      </c>
      <c r="F228" s="17" t="s">
        <v>281</v>
      </c>
      <c r="G228" s="22">
        <v>326.60000000000002</v>
      </c>
      <c r="H228" s="16">
        <v>0.05</v>
      </c>
      <c r="I228" s="22">
        <f t="shared" si="31"/>
        <v>16.330000000000002</v>
      </c>
      <c r="J228" s="22">
        <f t="shared" si="32"/>
        <v>342.93</v>
      </c>
      <c r="K228" s="22">
        <f t="shared" ref="K228:L238" si="36">$G228*K$1</f>
        <v>32.660000000000004</v>
      </c>
      <c r="L228" s="22">
        <f t="shared" si="36"/>
        <v>19.596</v>
      </c>
      <c r="M228" s="22">
        <f t="shared" si="35"/>
        <v>19.596</v>
      </c>
      <c r="N228" s="22">
        <f t="shared" si="35"/>
        <v>29.394000000000002</v>
      </c>
      <c r="O228" s="22">
        <f t="shared" si="35"/>
        <v>32.660000000000004</v>
      </c>
      <c r="P228" s="22">
        <f t="shared" si="35"/>
        <v>48.99</v>
      </c>
      <c r="Q228" s="22">
        <f t="shared" si="35"/>
        <v>65.320000000000007</v>
      </c>
      <c r="R228" s="22">
        <f t="shared" si="35"/>
        <v>65.320000000000007</v>
      </c>
      <c r="S228" s="22">
        <f t="shared" si="35"/>
        <v>29.394000000000002</v>
      </c>
      <c r="T228" s="22">
        <f t="shared" si="35"/>
        <v>29.394000000000002</v>
      </c>
      <c r="U228" s="22">
        <f t="shared" si="35"/>
        <v>48.99</v>
      </c>
      <c r="V228" s="22">
        <f t="shared" si="33"/>
        <v>65.320000000000007</v>
      </c>
      <c r="W228" s="22">
        <f t="shared" si="33"/>
        <v>48.99</v>
      </c>
      <c r="X228" s="22">
        <f t="shared" si="33"/>
        <v>32.660000000000004</v>
      </c>
      <c r="Y228" s="22">
        <f t="shared" si="33"/>
        <v>16.330000000000002</v>
      </c>
      <c r="Z228" s="22">
        <f t="shared" si="33"/>
        <v>32.660000000000004</v>
      </c>
    </row>
    <row r="229" spans="1:26" x14ac:dyDescent="0.3">
      <c r="A229" s="22">
        <f t="shared" si="28"/>
        <v>240.05100000000002</v>
      </c>
      <c r="B229" s="22">
        <f t="shared" si="29"/>
        <v>48.010200000000005</v>
      </c>
      <c r="C229" s="22">
        <f t="shared" si="30"/>
        <v>192.04080000000002</v>
      </c>
      <c r="D229" s="25" t="s">
        <v>0</v>
      </c>
      <c r="E229" s="25" t="s">
        <v>471</v>
      </c>
      <c r="F229" s="17" t="s">
        <v>287</v>
      </c>
      <c r="G229" s="22">
        <v>65.319999999999993</v>
      </c>
      <c r="H229" s="16">
        <v>0.05</v>
      </c>
      <c r="I229" s="22">
        <f t="shared" si="31"/>
        <v>3.266</v>
      </c>
      <c r="J229" s="22">
        <f t="shared" si="32"/>
        <v>68.585999999999999</v>
      </c>
      <c r="K229" s="22">
        <f t="shared" si="36"/>
        <v>6.532</v>
      </c>
      <c r="L229" s="22">
        <f t="shared" si="36"/>
        <v>3.9191999999999996</v>
      </c>
      <c r="M229" s="22">
        <f t="shared" si="35"/>
        <v>3.9191999999999996</v>
      </c>
      <c r="N229" s="22">
        <f t="shared" si="35"/>
        <v>5.8787999999999991</v>
      </c>
      <c r="O229" s="22">
        <f t="shared" si="35"/>
        <v>6.532</v>
      </c>
      <c r="P229" s="22">
        <f t="shared" si="35"/>
        <v>9.7979999999999983</v>
      </c>
      <c r="Q229" s="22">
        <f t="shared" si="35"/>
        <v>13.064</v>
      </c>
      <c r="R229" s="22">
        <f t="shared" si="35"/>
        <v>13.064</v>
      </c>
      <c r="S229" s="22">
        <f t="shared" si="35"/>
        <v>5.8787999999999991</v>
      </c>
      <c r="T229" s="22">
        <f t="shared" si="35"/>
        <v>5.8787999999999991</v>
      </c>
      <c r="U229" s="22">
        <f t="shared" si="35"/>
        <v>9.7979999999999983</v>
      </c>
      <c r="V229" s="22">
        <f t="shared" si="33"/>
        <v>13.064</v>
      </c>
      <c r="W229" s="22">
        <f t="shared" si="33"/>
        <v>9.7979999999999983</v>
      </c>
      <c r="X229" s="22">
        <f t="shared" si="33"/>
        <v>6.532</v>
      </c>
      <c r="Y229" s="22">
        <f t="shared" si="33"/>
        <v>3.266</v>
      </c>
      <c r="Z229" s="22">
        <f t="shared" si="33"/>
        <v>6.532</v>
      </c>
    </row>
    <row r="230" spans="1:26" x14ac:dyDescent="0.3">
      <c r="A230" s="22">
        <f t="shared" si="28"/>
        <v>1279.635</v>
      </c>
      <c r="B230" s="22">
        <f t="shared" si="29"/>
        <v>255.92699999999999</v>
      </c>
      <c r="C230" s="22">
        <f t="shared" si="30"/>
        <v>1023.708</v>
      </c>
      <c r="D230" s="25" t="s">
        <v>0</v>
      </c>
      <c r="E230" s="25" t="s">
        <v>471</v>
      </c>
      <c r="F230" s="17" t="s">
        <v>288</v>
      </c>
      <c r="G230" s="22">
        <v>348.2</v>
      </c>
      <c r="H230" s="16">
        <v>0.05</v>
      </c>
      <c r="I230" s="22">
        <f t="shared" si="31"/>
        <v>17.41</v>
      </c>
      <c r="J230" s="22">
        <f t="shared" si="32"/>
        <v>365.61</v>
      </c>
      <c r="K230" s="22">
        <f t="shared" si="36"/>
        <v>34.82</v>
      </c>
      <c r="L230" s="22">
        <f t="shared" si="36"/>
        <v>20.891999999999999</v>
      </c>
      <c r="M230" s="22">
        <f t="shared" si="35"/>
        <v>20.891999999999999</v>
      </c>
      <c r="N230" s="22">
        <f t="shared" si="35"/>
        <v>31.337999999999997</v>
      </c>
      <c r="O230" s="22">
        <f t="shared" si="35"/>
        <v>34.82</v>
      </c>
      <c r="P230" s="22">
        <f t="shared" si="35"/>
        <v>52.23</v>
      </c>
      <c r="Q230" s="22">
        <f t="shared" si="35"/>
        <v>69.64</v>
      </c>
      <c r="R230" s="22">
        <f t="shared" si="35"/>
        <v>69.64</v>
      </c>
      <c r="S230" s="22">
        <f t="shared" si="35"/>
        <v>31.337999999999997</v>
      </c>
      <c r="T230" s="22">
        <f t="shared" si="35"/>
        <v>31.337999999999997</v>
      </c>
      <c r="U230" s="22">
        <f t="shared" si="35"/>
        <v>52.23</v>
      </c>
      <c r="V230" s="22">
        <f t="shared" si="33"/>
        <v>69.64</v>
      </c>
      <c r="W230" s="22">
        <f t="shared" si="33"/>
        <v>52.23</v>
      </c>
      <c r="X230" s="22">
        <f t="shared" si="33"/>
        <v>34.82</v>
      </c>
      <c r="Y230" s="22">
        <f t="shared" si="33"/>
        <v>17.41</v>
      </c>
      <c r="Z230" s="22">
        <f t="shared" si="33"/>
        <v>34.82</v>
      </c>
    </row>
    <row r="231" spans="1:26" x14ac:dyDescent="0.3">
      <c r="A231" s="22">
        <f t="shared" si="28"/>
        <v>255.92699999999994</v>
      </c>
      <c r="B231" s="22">
        <f t="shared" si="29"/>
        <v>51.185399999999987</v>
      </c>
      <c r="C231" s="22">
        <f t="shared" si="30"/>
        <v>204.74159999999995</v>
      </c>
      <c r="D231" s="25" t="s">
        <v>0</v>
      </c>
      <c r="E231" s="25" t="s">
        <v>471</v>
      </c>
      <c r="F231" s="17" t="s">
        <v>289</v>
      </c>
      <c r="G231" s="22">
        <v>69.64</v>
      </c>
      <c r="H231" s="16">
        <v>0.05</v>
      </c>
      <c r="I231" s="22">
        <f t="shared" si="31"/>
        <v>3.4820000000000002</v>
      </c>
      <c r="J231" s="22">
        <f t="shared" si="32"/>
        <v>73.122</v>
      </c>
      <c r="K231" s="22">
        <f t="shared" si="36"/>
        <v>6.9640000000000004</v>
      </c>
      <c r="L231" s="22">
        <f t="shared" si="36"/>
        <v>4.1783999999999999</v>
      </c>
      <c r="M231" s="22">
        <f t="shared" si="35"/>
        <v>4.1783999999999999</v>
      </c>
      <c r="N231" s="22">
        <f t="shared" si="35"/>
        <v>6.2675999999999998</v>
      </c>
      <c r="O231" s="22">
        <f t="shared" si="35"/>
        <v>6.9640000000000004</v>
      </c>
      <c r="P231" s="22">
        <f t="shared" si="35"/>
        <v>10.446</v>
      </c>
      <c r="Q231" s="22">
        <f t="shared" si="35"/>
        <v>13.928000000000001</v>
      </c>
      <c r="R231" s="22">
        <f t="shared" si="35"/>
        <v>13.928000000000001</v>
      </c>
      <c r="S231" s="22">
        <f t="shared" si="35"/>
        <v>6.2675999999999998</v>
      </c>
      <c r="T231" s="22">
        <f t="shared" si="35"/>
        <v>6.2675999999999998</v>
      </c>
      <c r="U231" s="22">
        <f t="shared" si="35"/>
        <v>10.446</v>
      </c>
      <c r="V231" s="22">
        <f t="shared" si="33"/>
        <v>13.928000000000001</v>
      </c>
      <c r="W231" s="22">
        <f t="shared" si="33"/>
        <v>10.446</v>
      </c>
      <c r="X231" s="22">
        <f t="shared" si="33"/>
        <v>6.9640000000000004</v>
      </c>
      <c r="Y231" s="22">
        <f t="shared" si="33"/>
        <v>3.4820000000000002</v>
      </c>
      <c r="Z231" s="22">
        <f t="shared" si="33"/>
        <v>6.9640000000000004</v>
      </c>
    </row>
    <row r="232" spans="1:26" x14ac:dyDescent="0.3">
      <c r="A232" s="22">
        <f t="shared" si="28"/>
        <v>37.852500000000006</v>
      </c>
      <c r="B232" s="22">
        <f t="shared" si="29"/>
        <v>7.5705000000000009</v>
      </c>
      <c r="C232" s="22">
        <f t="shared" si="30"/>
        <v>30.282000000000004</v>
      </c>
      <c r="D232" s="25" t="s">
        <v>0</v>
      </c>
      <c r="E232" s="25" t="s">
        <v>471</v>
      </c>
      <c r="F232" s="17" t="s">
        <v>290</v>
      </c>
      <c r="G232" s="22">
        <v>10.3</v>
      </c>
      <c r="H232" s="16">
        <v>0.05</v>
      </c>
      <c r="I232" s="22">
        <f t="shared" si="31"/>
        <v>0.51500000000000001</v>
      </c>
      <c r="J232" s="22">
        <f t="shared" si="32"/>
        <v>10.815000000000001</v>
      </c>
      <c r="K232" s="22">
        <f t="shared" si="36"/>
        <v>1.03</v>
      </c>
      <c r="L232" s="22">
        <f t="shared" si="36"/>
        <v>0.61799999999999999</v>
      </c>
      <c r="M232" s="22">
        <f t="shared" si="35"/>
        <v>0.61799999999999999</v>
      </c>
      <c r="N232" s="22">
        <f t="shared" si="35"/>
        <v>0.92700000000000005</v>
      </c>
      <c r="O232" s="22">
        <f t="shared" si="35"/>
        <v>1.03</v>
      </c>
      <c r="P232" s="22">
        <f t="shared" si="35"/>
        <v>1.5450000000000002</v>
      </c>
      <c r="Q232" s="22">
        <f t="shared" si="35"/>
        <v>2.06</v>
      </c>
      <c r="R232" s="22">
        <f t="shared" si="35"/>
        <v>2.06</v>
      </c>
      <c r="S232" s="22">
        <f t="shared" si="35"/>
        <v>0.92700000000000005</v>
      </c>
      <c r="T232" s="22">
        <f t="shared" si="35"/>
        <v>0.92700000000000005</v>
      </c>
      <c r="U232" s="22">
        <f t="shared" si="35"/>
        <v>1.5450000000000002</v>
      </c>
      <c r="V232" s="22">
        <f t="shared" si="33"/>
        <v>2.06</v>
      </c>
      <c r="W232" s="22">
        <f t="shared" si="33"/>
        <v>1.5450000000000002</v>
      </c>
      <c r="X232" s="22">
        <f t="shared" si="33"/>
        <v>1.03</v>
      </c>
      <c r="Y232" s="22">
        <f t="shared" si="33"/>
        <v>0.51500000000000001</v>
      </c>
      <c r="Z232" s="22">
        <f t="shared" si="33"/>
        <v>1.03</v>
      </c>
    </row>
    <row r="233" spans="1:26" x14ac:dyDescent="0.3">
      <c r="A233" s="22">
        <f t="shared" si="28"/>
        <v>94.631249999999994</v>
      </c>
      <c r="B233" s="22">
        <f t="shared" si="29"/>
        <v>18.92625</v>
      </c>
      <c r="C233" s="22">
        <f t="shared" si="30"/>
        <v>75.704999999999998</v>
      </c>
      <c r="D233" s="25" t="s">
        <v>0</v>
      </c>
      <c r="E233" s="25" t="s">
        <v>471</v>
      </c>
      <c r="F233" s="17" t="s">
        <v>319</v>
      </c>
      <c r="G233" s="22">
        <v>25.75</v>
      </c>
      <c r="H233" s="16">
        <v>0.05</v>
      </c>
      <c r="I233" s="22">
        <f t="shared" si="31"/>
        <v>1.2875000000000001</v>
      </c>
      <c r="J233" s="22">
        <f t="shared" si="32"/>
        <v>27.037500000000001</v>
      </c>
      <c r="K233" s="22">
        <f t="shared" si="36"/>
        <v>2.5750000000000002</v>
      </c>
      <c r="L233" s="22">
        <f t="shared" si="36"/>
        <v>1.5449999999999999</v>
      </c>
      <c r="M233" s="22">
        <f t="shared" si="35"/>
        <v>1.5449999999999999</v>
      </c>
      <c r="N233" s="22">
        <f t="shared" si="35"/>
        <v>2.3174999999999999</v>
      </c>
      <c r="O233" s="22">
        <f t="shared" si="35"/>
        <v>2.5750000000000002</v>
      </c>
      <c r="P233" s="22">
        <f t="shared" si="35"/>
        <v>3.8624999999999998</v>
      </c>
      <c r="Q233" s="22">
        <f t="shared" si="35"/>
        <v>5.15</v>
      </c>
      <c r="R233" s="22">
        <f t="shared" si="35"/>
        <v>5.15</v>
      </c>
      <c r="S233" s="22">
        <f t="shared" si="35"/>
        <v>2.3174999999999999</v>
      </c>
      <c r="T233" s="22">
        <f t="shared" si="35"/>
        <v>2.3174999999999999</v>
      </c>
      <c r="U233" s="22">
        <f t="shared" si="35"/>
        <v>3.8624999999999998</v>
      </c>
      <c r="V233" s="22">
        <f t="shared" si="33"/>
        <v>5.15</v>
      </c>
      <c r="W233" s="22">
        <f t="shared" si="33"/>
        <v>3.8624999999999998</v>
      </c>
      <c r="X233" s="22">
        <f t="shared" si="33"/>
        <v>2.5750000000000002</v>
      </c>
      <c r="Y233" s="22">
        <f t="shared" si="33"/>
        <v>1.2875000000000001</v>
      </c>
      <c r="Z233" s="22">
        <f t="shared" si="33"/>
        <v>2.5750000000000002</v>
      </c>
    </row>
    <row r="234" spans="1:26" x14ac:dyDescent="0.3">
      <c r="A234" s="22">
        <f t="shared" si="28"/>
        <v>1086.6239999999998</v>
      </c>
      <c r="B234" s="22">
        <f t="shared" si="29"/>
        <v>217.32479999999995</v>
      </c>
      <c r="C234" s="22">
        <f t="shared" si="30"/>
        <v>869.29919999999981</v>
      </c>
      <c r="D234" s="25" t="s">
        <v>0</v>
      </c>
      <c r="E234" s="25" t="s">
        <v>471</v>
      </c>
      <c r="F234" s="17" t="s">
        <v>349</v>
      </c>
      <c r="G234" s="22">
        <v>295.68</v>
      </c>
      <c r="H234" s="16">
        <v>0.05</v>
      </c>
      <c r="I234" s="22">
        <f t="shared" si="31"/>
        <v>14.784000000000001</v>
      </c>
      <c r="J234" s="22">
        <f t="shared" si="32"/>
        <v>310.464</v>
      </c>
      <c r="K234" s="22">
        <f t="shared" si="36"/>
        <v>29.568000000000001</v>
      </c>
      <c r="L234" s="22">
        <f t="shared" si="36"/>
        <v>17.7408</v>
      </c>
      <c r="M234" s="22">
        <f t="shared" si="35"/>
        <v>17.7408</v>
      </c>
      <c r="N234" s="22">
        <f t="shared" si="35"/>
        <v>26.6112</v>
      </c>
      <c r="O234" s="22">
        <f t="shared" si="35"/>
        <v>29.568000000000001</v>
      </c>
      <c r="P234" s="22">
        <f t="shared" si="35"/>
        <v>44.351999999999997</v>
      </c>
      <c r="Q234" s="22">
        <f t="shared" si="35"/>
        <v>59.136000000000003</v>
      </c>
      <c r="R234" s="22">
        <f t="shared" si="35"/>
        <v>59.136000000000003</v>
      </c>
      <c r="S234" s="22">
        <f t="shared" si="35"/>
        <v>26.6112</v>
      </c>
      <c r="T234" s="22">
        <f t="shared" si="35"/>
        <v>26.6112</v>
      </c>
      <c r="U234" s="22">
        <f t="shared" si="35"/>
        <v>44.351999999999997</v>
      </c>
      <c r="V234" s="22">
        <f t="shared" si="33"/>
        <v>59.136000000000003</v>
      </c>
      <c r="W234" s="22">
        <f t="shared" si="33"/>
        <v>44.351999999999997</v>
      </c>
      <c r="X234" s="22">
        <f t="shared" si="33"/>
        <v>29.568000000000001</v>
      </c>
      <c r="Y234" s="22">
        <f t="shared" si="33"/>
        <v>14.784000000000001</v>
      </c>
      <c r="Z234" s="22">
        <f t="shared" si="33"/>
        <v>29.568000000000001</v>
      </c>
    </row>
    <row r="235" spans="1:26" x14ac:dyDescent="0.3">
      <c r="A235" s="22">
        <f t="shared" si="28"/>
        <v>153.43124999999998</v>
      </c>
      <c r="B235" s="22">
        <f t="shared" si="29"/>
        <v>30.686249999999994</v>
      </c>
      <c r="C235" s="22">
        <f t="shared" si="30"/>
        <v>122.74499999999998</v>
      </c>
      <c r="D235" s="25" t="s">
        <v>0</v>
      </c>
      <c r="E235" s="25" t="s">
        <v>471</v>
      </c>
      <c r="F235" s="17" t="s">
        <v>299</v>
      </c>
      <c r="G235" s="22">
        <v>41.75</v>
      </c>
      <c r="H235" s="16">
        <v>0.05</v>
      </c>
      <c r="I235" s="22">
        <f t="shared" si="31"/>
        <v>2.0874999999999999</v>
      </c>
      <c r="J235" s="22">
        <f t="shared" si="32"/>
        <v>43.837499999999999</v>
      </c>
      <c r="K235" s="22">
        <f t="shared" si="36"/>
        <v>4.1749999999999998</v>
      </c>
      <c r="L235" s="22">
        <f t="shared" si="36"/>
        <v>2.5049999999999999</v>
      </c>
      <c r="M235" s="22">
        <f t="shared" si="35"/>
        <v>2.5049999999999999</v>
      </c>
      <c r="N235" s="22">
        <f t="shared" si="35"/>
        <v>3.7574999999999998</v>
      </c>
      <c r="O235" s="22">
        <f t="shared" si="35"/>
        <v>4.1749999999999998</v>
      </c>
      <c r="P235" s="22">
        <f t="shared" si="35"/>
        <v>6.2625000000000002</v>
      </c>
      <c r="Q235" s="22">
        <f t="shared" si="35"/>
        <v>8.35</v>
      </c>
      <c r="R235" s="22">
        <f t="shared" si="35"/>
        <v>8.35</v>
      </c>
      <c r="S235" s="22">
        <f t="shared" si="35"/>
        <v>3.7574999999999998</v>
      </c>
      <c r="T235" s="22">
        <f t="shared" si="35"/>
        <v>3.7574999999999998</v>
      </c>
      <c r="U235" s="22">
        <f t="shared" si="35"/>
        <v>6.2625000000000002</v>
      </c>
      <c r="V235" s="22">
        <f t="shared" si="33"/>
        <v>8.35</v>
      </c>
      <c r="W235" s="22">
        <f t="shared" si="33"/>
        <v>6.2625000000000002</v>
      </c>
      <c r="X235" s="22">
        <f t="shared" si="33"/>
        <v>4.1749999999999998</v>
      </c>
      <c r="Y235" s="22">
        <f t="shared" si="33"/>
        <v>2.0874999999999999</v>
      </c>
      <c r="Z235" s="22">
        <f t="shared" si="33"/>
        <v>4.1749999999999998</v>
      </c>
    </row>
    <row r="236" spans="1:26" x14ac:dyDescent="0.3">
      <c r="A236" s="22">
        <f t="shared" si="28"/>
        <v>256.29449999999997</v>
      </c>
      <c r="B236" s="22">
        <f t="shared" si="29"/>
        <v>51.25889999999999</v>
      </c>
      <c r="C236" s="22">
        <f t="shared" si="30"/>
        <v>205.03559999999996</v>
      </c>
      <c r="D236" s="25" t="s">
        <v>41</v>
      </c>
      <c r="E236" s="25" t="s">
        <v>471</v>
      </c>
      <c r="F236" s="17" t="s">
        <v>318</v>
      </c>
      <c r="G236" s="22">
        <v>69.739999999999995</v>
      </c>
      <c r="H236" s="16">
        <v>0.05</v>
      </c>
      <c r="I236" s="22">
        <f t="shared" si="31"/>
        <v>3.4870000000000001</v>
      </c>
      <c r="J236" s="22">
        <f t="shared" si="32"/>
        <v>73.22699999999999</v>
      </c>
      <c r="K236" s="22">
        <f t="shared" si="36"/>
        <v>6.9740000000000002</v>
      </c>
      <c r="L236" s="22">
        <f t="shared" si="36"/>
        <v>4.1843999999999992</v>
      </c>
      <c r="M236" s="22">
        <f t="shared" si="35"/>
        <v>4.1843999999999992</v>
      </c>
      <c r="N236" s="22">
        <f t="shared" si="35"/>
        <v>6.2765999999999993</v>
      </c>
      <c r="O236" s="22">
        <f t="shared" si="35"/>
        <v>6.9740000000000002</v>
      </c>
      <c r="P236" s="22">
        <f t="shared" si="35"/>
        <v>10.460999999999999</v>
      </c>
      <c r="Q236" s="22">
        <f t="shared" si="35"/>
        <v>13.948</v>
      </c>
      <c r="R236" s="22">
        <f t="shared" si="35"/>
        <v>13.948</v>
      </c>
      <c r="S236" s="22">
        <f t="shared" si="35"/>
        <v>6.2765999999999993</v>
      </c>
      <c r="T236" s="22">
        <f t="shared" si="35"/>
        <v>6.2765999999999993</v>
      </c>
      <c r="U236" s="22">
        <f t="shared" si="35"/>
        <v>10.460999999999999</v>
      </c>
      <c r="V236" s="22">
        <f t="shared" si="33"/>
        <v>13.948</v>
      </c>
      <c r="W236" s="22">
        <f t="shared" si="33"/>
        <v>10.460999999999999</v>
      </c>
      <c r="X236" s="22">
        <f t="shared" si="33"/>
        <v>6.9740000000000002</v>
      </c>
      <c r="Y236" s="22">
        <f t="shared" si="33"/>
        <v>3.4870000000000001</v>
      </c>
      <c r="Z236" s="22">
        <f t="shared" si="33"/>
        <v>6.9740000000000002</v>
      </c>
    </row>
    <row r="237" spans="1:26" x14ac:dyDescent="0.3">
      <c r="A237" s="22">
        <f t="shared" si="28"/>
        <v>256.77224999999999</v>
      </c>
      <c r="B237" s="22">
        <f t="shared" si="29"/>
        <v>51.35445</v>
      </c>
      <c r="C237" s="22">
        <f t="shared" si="30"/>
        <v>205.4178</v>
      </c>
      <c r="D237" s="25" t="s">
        <v>41</v>
      </c>
      <c r="E237" s="25" t="s">
        <v>471</v>
      </c>
      <c r="F237" s="17" t="s">
        <v>320</v>
      </c>
      <c r="G237" s="22">
        <v>69.87</v>
      </c>
      <c r="H237" s="16">
        <v>0.05</v>
      </c>
      <c r="I237" s="22">
        <f t="shared" si="31"/>
        <v>3.4935000000000005</v>
      </c>
      <c r="J237" s="22">
        <f t="shared" si="32"/>
        <v>73.363500000000002</v>
      </c>
      <c r="K237" s="22">
        <f t="shared" si="36"/>
        <v>6.987000000000001</v>
      </c>
      <c r="L237" s="22">
        <f t="shared" si="36"/>
        <v>4.1921999999999997</v>
      </c>
      <c r="M237" s="22">
        <f t="shared" si="35"/>
        <v>4.1921999999999997</v>
      </c>
      <c r="N237" s="22">
        <f t="shared" si="35"/>
        <v>6.2883000000000004</v>
      </c>
      <c r="O237" s="22">
        <f t="shared" si="35"/>
        <v>6.987000000000001</v>
      </c>
      <c r="P237" s="22">
        <f t="shared" si="35"/>
        <v>10.480500000000001</v>
      </c>
      <c r="Q237" s="22">
        <f t="shared" si="35"/>
        <v>13.974000000000002</v>
      </c>
      <c r="R237" s="22">
        <f t="shared" si="35"/>
        <v>13.974000000000002</v>
      </c>
      <c r="S237" s="22">
        <f t="shared" si="35"/>
        <v>6.2883000000000004</v>
      </c>
      <c r="T237" s="22">
        <f t="shared" si="35"/>
        <v>6.2883000000000004</v>
      </c>
      <c r="U237" s="22">
        <f t="shared" si="35"/>
        <v>10.480500000000001</v>
      </c>
      <c r="V237" s="22">
        <f t="shared" si="33"/>
        <v>13.974000000000002</v>
      </c>
      <c r="W237" s="22">
        <f t="shared" si="33"/>
        <v>10.480500000000001</v>
      </c>
      <c r="X237" s="22">
        <f t="shared" si="33"/>
        <v>6.987000000000001</v>
      </c>
      <c r="Y237" s="22">
        <f t="shared" si="33"/>
        <v>3.4935000000000005</v>
      </c>
      <c r="Z237" s="22">
        <f t="shared" si="33"/>
        <v>6.987000000000001</v>
      </c>
    </row>
    <row r="238" spans="1:26" x14ac:dyDescent="0.3">
      <c r="A238" s="22">
        <f t="shared" si="28"/>
        <v>24.071249999999999</v>
      </c>
      <c r="B238" s="22">
        <f t="shared" si="29"/>
        <v>4.8142499999999995</v>
      </c>
      <c r="C238" s="22">
        <f t="shared" si="30"/>
        <v>19.256999999999998</v>
      </c>
      <c r="D238" s="25" t="s">
        <v>41</v>
      </c>
      <c r="E238" s="25" t="s">
        <v>471</v>
      </c>
      <c r="F238" s="17" t="s">
        <v>321</v>
      </c>
      <c r="G238" s="22">
        <v>6.55</v>
      </c>
      <c r="H238" s="16">
        <v>0.05</v>
      </c>
      <c r="I238" s="22">
        <f t="shared" si="31"/>
        <v>0.32750000000000001</v>
      </c>
      <c r="J238" s="22">
        <f t="shared" si="32"/>
        <v>6.8774999999999995</v>
      </c>
      <c r="K238" s="22">
        <f t="shared" si="36"/>
        <v>0.65500000000000003</v>
      </c>
      <c r="L238" s="22">
        <f t="shared" si="36"/>
        <v>0.39299999999999996</v>
      </c>
      <c r="M238" s="22">
        <f t="shared" si="35"/>
        <v>0.39299999999999996</v>
      </c>
      <c r="N238" s="22">
        <f t="shared" si="35"/>
        <v>0.58949999999999991</v>
      </c>
      <c r="O238" s="22">
        <f t="shared" si="35"/>
        <v>0.65500000000000003</v>
      </c>
      <c r="P238" s="22">
        <f t="shared" si="35"/>
        <v>0.98249999999999993</v>
      </c>
      <c r="Q238" s="22">
        <f t="shared" si="35"/>
        <v>1.31</v>
      </c>
      <c r="R238" s="22">
        <f t="shared" si="35"/>
        <v>1.31</v>
      </c>
      <c r="S238" s="22">
        <f t="shared" si="35"/>
        <v>0.58949999999999991</v>
      </c>
      <c r="T238" s="22">
        <f t="shared" si="35"/>
        <v>0.58949999999999991</v>
      </c>
      <c r="U238" s="22">
        <f t="shared" si="35"/>
        <v>0.98249999999999993</v>
      </c>
      <c r="V238" s="22">
        <f t="shared" si="33"/>
        <v>1.31</v>
      </c>
      <c r="W238" s="22">
        <f t="shared" si="33"/>
        <v>0.98249999999999993</v>
      </c>
      <c r="X238" s="22">
        <f t="shared" si="33"/>
        <v>0.65500000000000003</v>
      </c>
      <c r="Y238" s="22">
        <f t="shared" si="33"/>
        <v>0.32750000000000001</v>
      </c>
      <c r="Z238" s="22">
        <f t="shared" si="33"/>
        <v>0.65500000000000003</v>
      </c>
    </row>
  </sheetData>
  <dataValidations count="1">
    <dataValidation type="list" allowBlank="1" showInputMessage="1" showErrorMessage="1" sqref="E3:E238" xr:uid="{52B036DF-4AC9-4E75-BE25-45FDA4D500C1}">
      <formula1>$E$207:$E$208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D08D-A5CB-4274-9A37-0479BD05D4F6}">
  <dimension ref="A2:K80"/>
  <sheetViews>
    <sheetView showGridLines="0" topLeftCell="C1" zoomScale="101" zoomScaleNormal="175" workbookViewId="0">
      <selection activeCell="B78" sqref="B78"/>
    </sheetView>
  </sheetViews>
  <sheetFormatPr defaultRowHeight="15.6" x14ac:dyDescent="0.3"/>
  <cols>
    <col min="1" max="1" width="37.5546875" style="4" bestFit="1" customWidth="1"/>
    <col min="2" max="2" width="15.77734375" style="9" bestFit="1" customWidth="1"/>
    <col min="3" max="3" width="14.44140625" style="4" customWidth="1"/>
    <col min="4" max="4" width="38.6640625" style="4" bestFit="1" customWidth="1"/>
    <col min="5" max="5" width="15.77734375" style="9" bestFit="1" customWidth="1"/>
    <col min="6" max="6" width="14.44140625" style="4" customWidth="1"/>
    <col min="7" max="7" width="37.77734375" style="4" bestFit="1" customWidth="1"/>
    <col min="8" max="8" width="15.77734375" style="9" bestFit="1" customWidth="1"/>
    <col min="9" max="9" width="14.44140625" style="4" customWidth="1"/>
    <col min="10" max="10" width="33.21875" style="4" bestFit="1" customWidth="1"/>
    <col min="11" max="11" width="15.77734375" style="9" bestFit="1" customWidth="1"/>
    <col min="12" max="16384" width="8.88671875" style="4"/>
  </cols>
  <sheetData>
    <row r="2" spans="1:11" x14ac:dyDescent="0.3">
      <c r="A2" s="2" t="s">
        <v>216</v>
      </c>
      <c r="B2" s="7" t="s">
        <v>217</v>
      </c>
      <c r="C2" s="3"/>
      <c r="D2" s="2" t="s">
        <v>218</v>
      </c>
      <c r="E2" s="7" t="s">
        <v>217</v>
      </c>
      <c r="F2" s="3"/>
      <c r="G2" s="2" t="s">
        <v>219</v>
      </c>
      <c r="H2" s="7" t="s">
        <v>217</v>
      </c>
      <c r="I2" s="3"/>
      <c r="J2" s="2" t="s">
        <v>220</v>
      </c>
      <c r="K2" s="7" t="s">
        <v>217</v>
      </c>
    </row>
    <row r="3" spans="1:11" x14ac:dyDescent="0.3">
      <c r="A3" s="5" t="s">
        <v>221</v>
      </c>
      <c r="B3" s="8">
        <v>4</v>
      </c>
      <c r="D3" s="5" t="s">
        <v>222</v>
      </c>
      <c r="E3" s="8">
        <v>40</v>
      </c>
      <c r="G3" s="5" t="s">
        <v>223</v>
      </c>
      <c r="H3" s="8">
        <v>33.6</v>
      </c>
      <c r="J3" s="5" t="s">
        <v>224</v>
      </c>
      <c r="K3" s="8">
        <v>6.72</v>
      </c>
    </row>
    <row r="4" spans="1:11" x14ac:dyDescent="0.3">
      <c r="A4" s="5" t="s">
        <v>225</v>
      </c>
      <c r="B4" s="8">
        <v>2.63</v>
      </c>
      <c r="D4" s="5" t="s">
        <v>226</v>
      </c>
      <c r="E4" s="8">
        <v>26.3</v>
      </c>
      <c r="G4" s="5" t="s">
        <v>227</v>
      </c>
      <c r="H4" s="8">
        <v>58.5</v>
      </c>
      <c r="J4" s="5" t="s">
        <v>228</v>
      </c>
      <c r="K4" s="8">
        <v>11.7</v>
      </c>
    </row>
    <row r="5" spans="1:11" x14ac:dyDescent="0.3">
      <c r="A5" s="5" t="s">
        <v>229</v>
      </c>
      <c r="B5" s="8">
        <v>2.38</v>
      </c>
      <c r="D5" s="5" t="s">
        <v>230</v>
      </c>
      <c r="E5" s="8">
        <v>23.8</v>
      </c>
      <c r="G5" s="5" t="s">
        <v>231</v>
      </c>
      <c r="H5" s="8">
        <v>84</v>
      </c>
      <c r="J5" s="5" t="s">
        <v>232</v>
      </c>
      <c r="K5" s="8">
        <v>16.8</v>
      </c>
    </row>
    <row r="6" spans="1:11" x14ac:dyDescent="0.3">
      <c r="A6" s="5" t="s">
        <v>233</v>
      </c>
      <c r="B6" s="8">
        <v>0.69</v>
      </c>
      <c r="D6" s="5" t="s">
        <v>234</v>
      </c>
      <c r="E6" s="8">
        <v>6.9</v>
      </c>
      <c r="G6" s="5" t="s">
        <v>235</v>
      </c>
      <c r="H6" s="8">
        <v>6.5</v>
      </c>
      <c r="J6" s="5" t="s">
        <v>236</v>
      </c>
      <c r="K6" s="8">
        <v>1.3</v>
      </c>
    </row>
    <row r="7" spans="1:11" x14ac:dyDescent="0.3">
      <c r="A7" s="5" t="s">
        <v>237</v>
      </c>
      <c r="B7" s="8">
        <v>0.6</v>
      </c>
      <c r="D7" s="5" t="s">
        <v>238</v>
      </c>
      <c r="E7" s="8">
        <v>6</v>
      </c>
      <c r="G7" s="5" t="s">
        <v>239</v>
      </c>
      <c r="H7" s="8">
        <v>27.5</v>
      </c>
      <c r="J7" s="5" t="s">
        <v>240</v>
      </c>
      <c r="K7" s="8">
        <v>5.5</v>
      </c>
    </row>
    <row r="8" spans="1:11" x14ac:dyDescent="0.3">
      <c r="A8" s="2" t="s">
        <v>334</v>
      </c>
      <c r="B8" s="7">
        <f>SUM(B3:B7)</f>
        <v>10.299999999999999</v>
      </c>
      <c r="C8" s="3"/>
      <c r="D8" s="2" t="s">
        <v>334</v>
      </c>
      <c r="E8" s="7">
        <f>SUM(E3:E7)</f>
        <v>103</v>
      </c>
      <c r="G8" s="5" t="s">
        <v>241</v>
      </c>
      <c r="H8" s="8">
        <v>17.399999999999999</v>
      </c>
      <c r="J8" s="5" t="s">
        <v>242</v>
      </c>
      <c r="K8" s="8">
        <v>3.48</v>
      </c>
    </row>
    <row r="9" spans="1:11" x14ac:dyDescent="0.3">
      <c r="G9" s="5" t="s">
        <v>243</v>
      </c>
      <c r="H9" s="8">
        <v>0</v>
      </c>
      <c r="J9" s="5" t="s">
        <v>244</v>
      </c>
      <c r="K9" s="8">
        <v>0</v>
      </c>
    </row>
    <row r="10" spans="1:11" x14ac:dyDescent="0.3">
      <c r="G10" s="2" t="s">
        <v>334</v>
      </c>
      <c r="H10" s="7">
        <f>SUM(H3:H9)</f>
        <v>227.5</v>
      </c>
      <c r="J10" s="2" t="s">
        <v>334</v>
      </c>
      <c r="K10" s="7">
        <f>SUM(K3:K9)</f>
        <v>45.499999999999993</v>
      </c>
    </row>
    <row r="12" spans="1:11" x14ac:dyDescent="0.3">
      <c r="A12" s="2" t="s">
        <v>245</v>
      </c>
      <c r="B12" s="7" t="s">
        <v>217</v>
      </c>
      <c r="C12" s="3"/>
      <c r="D12" s="2" t="s">
        <v>246</v>
      </c>
      <c r="E12" s="7" t="s">
        <v>217</v>
      </c>
      <c r="F12" s="3"/>
      <c r="G12" s="2" t="s">
        <v>247</v>
      </c>
      <c r="H12" s="7" t="s">
        <v>217</v>
      </c>
      <c r="I12" s="3"/>
      <c r="J12" s="2" t="s">
        <v>248</v>
      </c>
      <c r="K12" s="7" t="s">
        <v>217</v>
      </c>
    </row>
    <row r="13" spans="1:11" x14ac:dyDescent="0.3">
      <c r="A13" s="5" t="s">
        <v>249</v>
      </c>
      <c r="B13" s="8">
        <v>38.4</v>
      </c>
      <c r="D13" s="5" t="s">
        <v>250</v>
      </c>
      <c r="E13" s="8">
        <v>7.68</v>
      </c>
      <c r="G13" s="5" t="s">
        <v>251</v>
      </c>
      <c r="H13" s="8">
        <v>28.8</v>
      </c>
      <c r="J13" s="5" t="s">
        <v>252</v>
      </c>
      <c r="K13" s="8">
        <v>5.76</v>
      </c>
    </row>
    <row r="14" spans="1:11" x14ac:dyDescent="0.3">
      <c r="A14" s="5" t="s">
        <v>253</v>
      </c>
      <c r="B14" s="8">
        <v>97.5</v>
      </c>
      <c r="D14" s="5" t="s">
        <v>254</v>
      </c>
      <c r="E14" s="8">
        <v>19.5</v>
      </c>
      <c r="G14" s="5" t="s">
        <v>255</v>
      </c>
      <c r="H14" s="8">
        <v>78</v>
      </c>
      <c r="J14" s="5" t="s">
        <v>256</v>
      </c>
      <c r="K14" s="8">
        <v>15.6</v>
      </c>
    </row>
    <row r="15" spans="1:11" x14ac:dyDescent="0.3">
      <c r="A15" s="5" t="s">
        <v>231</v>
      </c>
      <c r="B15" s="8">
        <v>84</v>
      </c>
      <c r="D15" s="5" t="s">
        <v>232</v>
      </c>
      <c r="E15" s="8">
        <v>16.8</v>
      </c>
      <c r="G15" s="5" t="s">
        <v>231</v>
      </c>
      <c r="H15" s="8">
        <v>84</v>
      </c>
      <c r="J15" s="5" t="s">
        <v>232</v>
      </c>
      <c r="K15" s="8">
        <v>16.8</v>
      </c>
    </row>
    <row r="16" spans="1:11" x14ac:dyDescent="0.3">
      <c r="A16" s="5" t="s">
        <v>257</v>
      </c>
      <c r="B16" s="8">
        <v>9.75</v>
      </c>
      <c r="D16" s="5" t="s">
        <v>258</v>
      </c>
      <c r="E16" s="8">
        <v>1.95</v>
      </c>
      <c r="G16" s="5" t="s">
        <v>235</v>
      </c>
      <c r="H16" s="8">
        <v>6.5</v>
      </c>
      <c r="J16" s="5" t="s">
        <v>236</v>
      </c>
      <c r="K16" s="8">
        <v>1.3</v>
      </c>
    </row>
    <row r="17" spans="1:11" x14ac:dyDescent="0.3">
      <c r="A17" s="5" t="s">
        <v>259</v>
      </c>
      <c r="B17" s="8">
        <v>38.5</v>
      </c>
      <c r="D17" s="5" t="s">
        <v>260</v>
      </c>
      <c r="E17" s="8">
        <v>7.7</v>
      </c>
      <c r="G17" s="5" t="s">
        <v>261</v>
      </c>
      <c r="H17" s="8">
        <v>33</v>
      </c>
      <c r="J17" s="5" t="s">
        <v>262</v>
      </c>
      <c r="K17" s="8">
        <v>6.6</v>
      </c>
    </row>
    <row r="18" spans="1:11" x14ac:dyDescent="0.3">
      <c r="A18" s="5" t="s">
        <v>241</v>
      </c>
      <c r="B18" s="8">
        <v>17.399999999999999</v>
      </c>
      <c r="D18" s="5" t="s">
        <v>242</v>
      </c>
      <c r="E18" s="8">
        <v>3.48</v>
      </c>
      <c r="G18" s="5" t="s">
        <v>263</v>
      </c>
      <c r="H18" s="8">
        <v>34.799999999999997</v>
      </c>
      <c r="J18" s="5" t="s">
        <v>264</v>
      </c>
      <c r="K18" s="8">
        <v>6.96</v>
      </c>
    </row>
    <row r="19" spans="1:11" x14ac:dyDescent="0.3">
      <c r="A19" s="5" t="s">
        <v>265</v>
      </c>
      <c r="B19" s="8">
        <v>0</v>
      </c>
      <c r="D19" s="5" t="s">
        <v>265</v>
      </c>
      <c r="E19" s="8">
        <v>0</v>
      </c>
      <c r="G19" s="5" t="s">
        <v>243</v>
      </c>
      <c r="H19" s="8">
        <v>0</v>
      </c>
      <c r="J19" s="5" t="s">
        <v>244</v>
      </c>
      <c r="K19" s="8">
        <v>0</v>
      </c>
    </row>
    <row r="20" spans="1:11" x14ac:dyDescent="0.3">
      <c r="A20" s="2" t="s">
        <v>334</v>
      </c>
      <c r="B20" s="7">
        <f>SUM(B13:B19)</f>
        <v>285.54999999999995</v>
      </c>
      <c r="D20" s="2" t="s">
        <v>334</v>
      </c>
      <c r="E20" s="7">
        <f>SUM(E13:E19)</f>
        <v>57.110000000000007</v>
      </c>
      <c r="G20" s="2" t="s">
        <v>334</v>
      </c>
      <c r="H20" s="7">
        <f>SUM(H13:H19)</f>
        <v>265.10000000000002</v>
      </c>
      <c r="J20" s="2" t="s">
        <v>334</v>
      </c>
      <c r="K20" s="7">
        <f>SUM(K13:K19)</f>
        <v>53.019999999999996</v>
      </c>
    </row>
    <row r="22" spans="1:11" x14ac:dyDescent="0.3">
      <c r="A22" s="2" t="s">
        <v>266</v>
      </c>
      <c r="B22" s="7" t="s">
        <v>217</v>
      </c>
      <c r="C22" s="3"/>
      <c r="D22" s="2" t="s">
        <v>267</v>
      </c>
      <c r="E22" s="7" t="s">
        <v>217</v>
      </c>
      <c r="F22" s="3"/>
      <c r="G22" s="2" t="s">
        <v>268</v>
      </c>
      <c r="H22" s="7" t="s">
        <v>217</v>
      </c>
      <c r="I22" s="3"/>
      <c r="J22" s="2" t="s">
        <v>269</v>
      </c>
      <c r="K22" s="7" t="s">
        <v>217</v>
      </c>
    </row>
    <row r="23" spans="1:11" x14ac:dyDescent="0.3">
      <c r="A23" s="5" t="s">
        <v>270</v>
      </c>
      <c r="B23" s="8">
        <v>3.15</v>
      </c>
      <c r="D23" s="5" t="s">
        <v>271</v>
      </c>
      <c r="E23" s="8">
        <v>24</v>
      </c>
      <c r="G23" s="5" t="s">
        <v>272</v>
      </c>
      <c r="H23" s="8">
        <v>4.8</v>
      </c>
      <c r="J23" s="5" t="s">
        <v>223</v>
      </c>
      <c r="K23" s="8">
        <v>33.6</v>
      </c>
    </row>
    <row r="24" spans="1:11" x14ac:dyDescent="0.3">
      <c r="A24" s="5" t="s">
        <v>273</v>
      </c>
      <c r="B24" s="8">
        <v>0.98</v>
      </c>
      <c r="D24" s="5" t="s">
        <v>253</v>
      </c>
      <c r="E24" s="8">
        <v>97.5</v>
      </c>
      <c r="G24" s="5" t="s">
        <v>274</v>
      </c>
      <c r="H24" s="8">
        <v>19.5</v>
      </c>
      <c r="J24" s="5" t="s">
        <v>255</v>
      </c>
      <c r="K24" s="8">
        <v>78</v>
      </c>
    </row>
    <row r="25" spans="1:11" x14ac:dyDescent="0.3">
      <c r="A25" s="5" t="s">
        <v>275</v>
      </c>
      <c r="B25" s="8">
        <v>0</v>
      </c>
      <c r="D25" s="5" t="s">
        <v>231</v>
      </c>
      <c r="E25" s="8">
        <v>84</v>
      </c>
      <c r="G25" s="5" t="s">
        <v>232</v>
      </c>
      <c r="H25" s="8">
        <v>16.8</v>
      </c>
      <c r="J25" s="5" t="s">
        <v>276</v>
      </c>
      <c r="K25" s="8">
        <v>105</v>
      </c>
    </row>
    <row r="26" spans="1:11" x14ac:dyDescent="0.3">
      <c r="A26" s="2" t="s">
        <v>334</v>
      </c>
      <c r="B26" s="7">
        <f>SUM(B23:B25)</f>
        <v>4.13</v>
      </c>
      <c r="D26" s="5" t="s">
        <v>235</v>
      </c>
      <c r="E26" s="8">
        <v>6.5</v>
      </c>
      <c r="G26" s="5" t="s">
        <v>236</v>
      </c>
      <c r="H26" s="8">
        <v>1.3</v>
      </c>
      <c r="J26" s="5" t="s">
        <v>235</v>
      </c>
      <c r="K26" s="8">
        <v>6.5</v>
      </c>
    </row>
    <row r="27" spans="1:11" x14ac:dyDescent="0.3">
      <c r="D27" s="5" t="s">
        <v>259</v>
      </c>
      <c r="E27" s="8">
        <v>38.5</v>
      </c>
      <c r="G27" s="5" t="s">
        <v>260</v>
      </c>
      <c r="H27" s="8">
        <v>7.7</v>
      </c>
      <c r="J27" s="5" t="s">
        <v>261</v>
      </c>
      <c r="K27" s="8">
        <v>33</v>
      </c>
    </row>
    <row r="28" spans="1:11" x14ac:dyDescent="0.3">
      <c r="D28" s="5" t="s">
        <v>241</v>
      </c>
      <c r="E28" s="8">
        <v>17.399999999999999</v>
      </c>
      <c r="G28" s="5" t="s">
        <v>242</v>
      </c>
      <c r="H28" s="8">
        <v>3.48</v>
      </c>
      <c r="J28" s="5" t="s">
        <v>241</v>
      </c>
      <c r="K28" s="8">
        <v>17.399999999999999</v>
      </c>
    </row>
    <row r="29" spans="1:11" x14ac:dyDescent="0.3">
      <c r="D29" s="5" t="s">
        <v>265</v>
      </c>
      <c r="E29" s="8">
        <v>0</v>
      </c>
      <c r="G29" s="5" t="s">
        <v>277</v>
      </c>
      <c r="H29" s="8">
        <v>0</v>
      </c>
      <c r="J29" s="5" t="s">
        <v>265</v>
      </c>
      <c r="K29" s="8">
        <v>0</v>
      </c>
    </row>
    <row r="30" spans="1:11" x14ac:dyDescent="0.3">
      <c r="D30" s="2" t="s">
        <v>334</v>
      </c>
      <c r="E30" s="7">
        <f>SUM(E23:E29)</f>
        <v>267.89999999999998</v>
      </c>
      <c r="G30" s="2" t="s">
        <v>334</v>
      </c>
      <c r="H30" s="7">
        <f>SUM(H23:H29)</f>
        <v>53.58</v>
      </c>
      <c r="J30" s="2" t="s">
        <v>334</v>
      </c>
      <c r="K30" s="7">
        <f>SUM(K23:K29)</f>
        <v>273.5</v>
      </c>
    </row>
    <row r="31" spans="1:11" x14ac:dyDescent="0.3">
      <c r="D31" s="3"/>
      <c r="E31" s="10"/>
      <c r="G31" s="3"/>
      <c r="H31" s="10"/>
      <c r="J31" s="3"/>
      <c r="K31" s="10"/>
    </row>
    <row r="32" spans="1:11" x14ac:dyDescent="0.3">
      <c r="D32" s="3"/>
      <c r="E32" s="10"/>
      <c r="G32" s="3"/>
      <c r="H32" s="10"/>
      <c r="J32" s="3"/>
      <c r="K32" s="10"/>
    </row>
    <row r="33" spans="1:11" x14ac:dyDescent="0.3">
      <c r="A33" s="2" t="s">
        <v>278</v>
      </c>
      <c r="B33" s="7" t="s">
        <v>217</v>
      </c>
      <c r="C33" s="3"/>
      <c r="D33" s="2" t="s">
        <v>279</v>
      </c>
      <c r="E33" s="7" t="s">
        <v>217</v>
      </c>
      <c r="F33" s="3"/>
      <c r="G33" s="2" t="s">
        <v>280</v>
      </c>
      <c r="H33" s="7" t="s">
        <v>217</v>
      </c>
      <c r="I33" s="3"/>
      <c r="J33" s="2" t="s">
        <v>281</v>
      </c>
      <c r="K33" s="7" t="s">
        <v>217</v>
      </c>
    </row>
    <row r="34" spans="1:11" x14ac:dyDescent="0.3">
      <c r="A34" s="5" t="s">
        <v>272</v>
      </c>
      <c r="B34" s="8">
        <v>4.8</v>
      </c>
      <c r="D34" s="5" t="s">
        <v>271</v>
      </c>
      <c r="E34" s="8">
        <v>24</v>
      </c>
      <c r="G34" s="5" t="s">
        <v>272</v>
      </c>
      <c r="H34" s="8">
        <v>4.8</v>
      </c>
      <c r="J34" s="5" t="s">
        <v>251</v>
      </c>
      <c r="K34" s="8">
        <v>28.8</v>
      </c>
    </row>
    <row r="35" spans="1:11" x14ac:dyDescent="0.3">
      <c r="A35" s="5" t="s">
        <v>282</v>
      </c>
      <c r="B35" s="8">
        <v>15.6</v>
      </c>
      <c r="D35" s="5" t="s">
        <v>253</v>
      </c>
      <c r="E35" s="8">
        <v>97.5</v>
      </c>
      <c r="G35" s="5" t="s">
        <v>254</v>
      </c>
      <c r="H35" s="8">
        <v>19.5</v>
      </c>
      <c r="J35" s="5" t="s">
        <v>253</v>
      </c>
      <c r="K35" s="8">
        <v>97.5</v>
      </c>
    </row>
    <row r="36" spans="1:11" x14ac:dyDescent="0.3">
      <c r="A36" s="5" t="s">
        <v>283</v>
      </c>
      <c r="B36" s="8">
        <v>21</v>
      </c>
      <c r="D36" s="5" t="s">
        <v>231</v>
      </c>
      <c r="E36" s="8">
        <v>84</v>
      </c>
      <c r="G36" s="5" t="s">
        <v>232</v>
      </c>
      <c r="H36" s="8">
        <v>16.8</v>
      </c>
      <c r="J36" s="5" t="s">
        <v>284</v>
      </c>
      <c r="K36" s="8">
        <v>126</v>
      </c>
    </row>
    <row r="37" spans="1:11" x14ac:dyDescent="0.3">
      <c r="A37" s="5" t="s">
        <v>236</v>
      </c>
      <c r="B37" s="8">
        <v>1.3</v>
      </c>
      <c r="D37" s="5" t="s">
        <v>235</v>
      </c>
      <c r="E37" s="8">
        <v>6.5</v>
      </c>
      <c r="G37" s="5" t="s">
        <v>236</v>
      </c>
      <c r="H37" s="8">
        <v>1.3</v>
      </c>
      <c r="J37" s="5" t="s">
        <v>235</v>
      </c>
      <c r="K37" s="8">
        <v>6.5</v>
      </c>
    </row>
    <row r="38" spans="1:11" x14ac:dyDescent="0.3">
      <c r="A38" s="5" t="s">
        <v>262</v>
      </c>
      <c r="B38" s="8">
        <v>6.6</v>
      </c>
      <c r="D38" s="5" t="s">
        <v>239</v>
      </c>
      <c r="E38" s="8">
        <v>27.5</v>
      </c>
      <c r="G38" s="5" t="s">
        <v>240</v>
      </c>
      <c r="H38" s="8">
        <v>5.5</v>
      </c>
      <c r="J38" s="5" t="s">
        <v>261</v>
      </c>
      <c r="K38" s="8">
        <v>33</v>
      </c>
    </row>
    <row r="39" spans="1:11" x14ac:dyDescent="0.3">
      <c r="A39" s="5" t="s">
        <v>242</v>
      </c>
      <c r="B39" s="8">
        <v>3.48</v>
      </c>
      <c r="D39" s="5" t="s">
        <v>263</v>
      </c>
      <c r="E39" s="8">
        <v>34.799999999999997</v>
      </c>
      <c r="G39" s="5" t="s">
        <v>264</v>
      </c>
      <c r="H39" s="8">
        <v>6.96</v>
      </c>
      <c r="J39" s="5" t="s">
        <v>263</v>
      </c>
      <c r="K39" s="8">
        <v>34.799999999999997</v>
      </c>
    </row>
    <row r="40" spans="1:11" x14ac:dyDescent="0.3">
      <c r="A40" s="5" t="s">
        <v>277</v>
      </c>
      <c r="B40" s="8">
        <v>0</v>
      </c>
      <c r="D40" s="5" t="s">
        <v>285</v>
      </c>
      <c r="E40" s="8">
        <v>0</v>
      </c>
      <c r="G40" s="5" t="s">
        <v>286</v>
      </c>
      <c r="H40" s="8">
        <v>0</v>
      </c>
      <c r="J40" s="5" t="s">
        <v>265</v>
      </c>
      <c r="K40" s="8">
        <v>0</v>
      </c>
    </row>
    <row r="41" spans="1:11" x14ac:dyDescent="0.3">
      <c r="A41" s="2" t="s">
        <v>334</v>
      </c>
      <c r="B41" s="7">
        <f>SUM(B34:B40)</f>
        <v>52.779999999999994</v>
      </c>
      <c r="D41" s="2" t="s">
        <v>334</v>
      </c>
      <c r="E41" s="7">
        <f>SUM(E34:E40)</f>
        <v>274.3</v>
      </c>
      <c r="G41" s="2" t="s">
        <v>334</v>
      </c>
      <c r="H41" s="7">
        <f>SUM(H34:H40)</f>
        <v>54.86</v>
      </c>
      <c r="J41" s="2" t="s">
        <v>334</v>
      </c>
      <c r="K41" s="7">
        <f>SUM(K34:K40)</f>
        <v>326.60000000000002</v>
      </c>
    </row>
    <row r="44" spans="1:11" x14ac:dyDescent="0.3">
      <c r="A44" s="2" t="s">
        <v>287</v>
      </c>
      <c r="B44" s="7" t="s">
        <v>217</v>
      </c>
      <c r="C44" s="3"/>
      <c r="D44" s="2" t="s">
        <v>288</v>
      </c>
      <c r="E44" s="7" t="s">
        <v>217</v>
      </c>
      <c r="F44" s="3"/>
      <c r="G44" s="2" t="s">
        <v>289</v>
      </c>
      <c r="H44" s="7" t="s">
        <v>217</v>
      </c>
      <c r="I44" s="3"/>
      <c r="J44" s="2" t="s">
        <v>290</v>
      </c>
      <c r="K44" s="7" t="s">
        <v>217</v>
      </c>
    </row>
    <row r="45" spans="1:11" x14ac:dyDescent="0.3">
      <c r="A45" s="5" t="s">
        <v>252</v>
      </c>
      <c r="B45" s="8">
        <v>5.76</v>
      </c>
      <c r="D45" s="5" t="s">
        <v>249</v>
      </c>
      <c r="E45" s="8">
        <v>38.4</v>
      </c>
      <c r="G45" s="5" t="s">
        <v>250</v>
      </c>
      <c r="H45" s="8">
        <v>7.68</v>
      </c>
      <c r="J45" s="5" t="s">
        <v>291</v>
      </c>
      <c r="K45" s="8">
        <v>4.8</v>
      </c>
    </row>
    <row r="46" spans="1:11" x14ac:dyDescent="0.3">
      <c r="A46" s="5" t="s">
        <v>254</v>
      </c>
      <c r="B46" s="8">
        <v>19.5</v>
      </c>
      <c r="D46" s="5" t="s">
        <v>253</v>
      </c>
      <c r="E46" s="8">
        <v>97.5</v>
      </c>
      <c r="G46" s="5" t="s">
        <v>254</v>
      </c>
      <c r="H46" s="8">
        <v>19.5</v>
      </c>
      <c r="J46" s="5" t="s">
        <v>292</v>
      </c>
      <c r="K46" s="8">
        <v>5.5</v>
      </c>
    </row>
    <row r="47" spans="1:11" x14ac:dyDescent="0.3">
      <c r="A47" s="5" t="s">
        <v>293</v>
      </c>
      <c r="B47" s="8">
        <v>25.2</v>
      </c>
      <c r="D47" s="5" t="s">
        <v>284</v>
      </c>
      <c r="E47" s="8">
        <v>126</v>
      </c>
      <c r="G47" s="5" t="s">
        <v>293</v>
      </c>
      <c r="H47" s="8">
        <v>25.2</v>
      </c>
      <c r="J47" s="2" t="s">
        <v>334</v>
      </c>
      <c r="K47" s="7">
        <f>SUM(K45:K46)</f>
        <v>10.3</v>
      </c>
    </row>
    <row r="48" spans="1:11" x14ac:dyDescent="0.3">
      <c r="A48" s="5" t="s">
        <v>236</v>
      </c>
      <c r="B48" s="8">
        <v>1.3</v>
      </c>
      <c r="D48" s="5" t="s">
        <v>294</v>
      </c>
      <c r="E48" s="8">
        <v>13</v>
      </c>
      <c r="G48" s="5" t="s">
        <v>295</v>
      </c>
      <c r="H48" s="8">
        <v>2.6</v>
      </c>
    </row>
    <row r="49" spans="1:11" x14ac:dyDescent="0.3">
      <c r="A49" s="5" t="s">
        <v>262</v>
      </c>
      <c r="B49" s="8">
        <v>6.6</v>
      </c>
      <c r="D49" s="5" t="s">
        <v>259</v>
      </c>
      <c r="E49" s="8">
        <v>38.5</v>
      </c>
      <c r="G49" s="5" t="s">
        <v>260</v>
      </c>
      <c r="H49" s="8">
        <v>7.7</v>
      </c>
    </row>
    <row r="50" spans="1:11" x14ac:dyDescent="0.3">
      <c r="A50" s="5" t="s">
        <v>264</v>
      </c>
      <c r="B50" s="8">
        <v>6.96</v>
      </c>
      <c r="D50" s="5" t="s">
        <v>263</v>
      </c>
      <c r="E50" s="8">
        <v>34.799999999999997</v>
      </c>
      <c r="G50" s="5" t="s">
        <v>264</v>
      </c>
      <c r="H50" s="8">
        <v>6.96</v>
      </c>
    </row>
    <row r="51" spans="1:11" x14ac:dyDescent="0.3">
      <c r="A51" s="5" t="s">
        <v>277</v>
      </c>
      <c r="B51" s="8">
        <v>0</v>
      </c>
      <c r="D51" s="5" t="s">
        <v>265</v>
      </c>
      <c r="E51" s="8">
        <v>0</v>
      </c>
      <c r="G51" s="5" t="s">
        <v>277</v>
      </c>
      <c r="H51" s="8">
        <v>0</v>
      </c>
    </row>
    <row r="52" spans="1:11" x14ac:dyDescent="0.3">
      <c r="A52" s="2" t="s">
        <v>334</v>
      </c>
      <c r="B52" s="7">
        <f>SUM(B45:B51)</f>
        <v>65.319999999999993</v>
      </c>
      <c r="D52" s="2" t="s">
        <v>334</v>
      </c>
      <c r="E52" s="7">
        <f>SUM(E45:E51)</f>
        <v>348.2</v>
      </c>
      <c r="G52" s="2" t="s">
        <v>334</v>
      </c>
      <c r="H52" s="7">
        <f>SUM(H45:H51)</f>
        <v>69.64</v>
      </c>
    </row>
    <row r="55" spans="1:11" x14ac:dyDescent="0.3">
      <c r="A55" s="2" t="s">
        <v>296</v>
      </c>
      <c r="B55" s="7" t="s">
        <v>217</v>
      </c>
      <c r="C55" s="3"/>
      <c r="D55" s="2" t="s">
        <v>297</v>
      </c>
      <c r="E55" s="7" t="s">
        <v>217</v>
      </c>
      <c r="F55" s="3"/>
      <c r="G55" s="2" t="s">
        <v>298</v>
      </c>
      <c r="H55" s="7" t="s">
        <v>217</v>
      </c>
      <c r="I55" s="3"/>
      <c r="J55" s="2" t="s">
        <v>321</v>
      </c>
      <c r="K55" s="7" t="s">
        <v>217</v>
      </c>
    </row>
    <row r="56" spans="1:11" x14ac:dyDescent="0.3">
      <c r="A56" s="5" t="s">
        <v>300</v>
      </c>
      <c r="B56" s="8">
        <v>8</v>
      </c>
      <c r="D56" s="5" t="s">
        <v>301</v>
      </c>
      <c r="E56" s="8">
        <v>108</v>
      </c>
      <c r="G56" s="5" t="s">
        <v>221</v>
      </c>
      <c r="H56" s="8">
        <v>4</v>
      </c>
      <c r="J56" s="5" t="s">
        <v>324</v>
      </c>
      <c r="K56" s="8">
        <v>6.5</v>
      </c>
    </row>
    <row r="57" spans="1:11" x14ac:dyDescent="0.3">
      <c r="A57" s="5" t="s">
        <v>303</v>
      </c>
      <c r="B57" s="8">
        <v>0</v>
      </c>
      <c r="D57" s="5" t="s">
        <v>304</v>
      </c>
      <c r="E57" s="8">
        <v>0</v>
      </c>
      <c r="G57" s="5" t="s">
        <v>305</v>
      </c>
      <c r="H57" s="8">
        <v>3.51</v>
      </c>
      <c r="J57" s="5" t="s">
        <v>327</v>
      </c>
      <c r="K57" s="8">
        <v>0.05</v>
      </c>
    </row>
    <row r="58" spans="1:11" x14ac:dyDescent="0.3">
      <c r="A58" s="5" t="s">
        <v>307</v>
      </c>
      <c r="B58" s="8">
        <v>0</v>
      </c>
      <c r="D58" s="5" t="s">
        <v>308</v>
      </c>
      <c r="E58" s="8">
        <v>0</v>
      </c>
      <c r="G58" s="5" t="s">
        <v>309</v>
      </c>
      <c r="H58" s="8">
        <v>0.8</v>
      </c>
      <c r="J58" s="2" t="s">
        <v>334</v>
      </c>
      <c r="K58" s="7">
        <f>SUM(K56:K57)</f>
        <v>6.55</v>
      </c>
    </row>
    <row r="59" spans="1:11" x14ac:dyDescent="0.3">
      <c r="A59" s="5" t="s">
        <v>311</v>
      </c>
      <c r="B59" s="8">
        <v>0</v>
      </c>
      <c r="D59" s="5" t="s">
        <v>312</v>
      </c>
      <c r="E59" s="8">
        <v>0</v>
      </c>
      <c r="G59" s="5" t="s">
        <v>313</v>
      </c>
      <c r="H59" s="8">
        <v>0.92</v>
      </c>
    </row>
    <row r="60" spans="1:11" x14ac:dyDescent="0.3">
      <c r="A60" s="5" t="s">
        <v>314</v>
      </c>
      <c r="B60" s="8">
        <v>1.95</v>
      </c>
      <c r="D60" s="5" t="s">
        <v>315</v>
      </c>
      <c r="E60" s="8">
        <v>17.55</v>
      </c>
      <c r="G60" s="2" t="s">
        <v>334</v>
      </c>
      <c r="H60" s="7">
        <f>SUM(H56:H59)</f>
        <v>9.23</v>
      </c>
    </row>
    <row r="61" spans="1:11" x14ac:dyDescent="0.3">
      <c r="A61" s="5" t="s">
        <v>316</v>
      </c>
      <c r="B61" s="8">
        <v>1.74</v>
      </c>
      <c r="D61" s="5" t="s">
        <v>317</v>
      </c>
      <c r="E61" s="8">
        <v>15.66</v>
      </c>
    </row>
    <row r="62" spans="1:11" x14ac:dyDescent="0.3">
      <c r="A62" s="2" t="s">
        <v>334</v>
      </c>
      <c r="B62" s="7">
        <f>SUM(B56:B61)</f>
        <v>11.69</v>
      </c>
      <c r="D62" s="2" t="s">
        <v>334</v>
      </c>
      <c r="E62" s="7">
        <f>SUM(E56:E61)</f>
        <v>141.21</v>
      </c>
    </row>
    <row r="64" spans="1:11" x14ac:dyDescent="0.3">
      <c r="A64" s="2" t="s">
        <v>318</v>
      </c>
      <c r="B64" s="7" t="s">
        <v>217</v>
      </c>
      <c r="C64" s="3"/>
      <c r="D64" s="2" t="s">
        <v>319</v>
      </c>
      <c r="E64" s="7" t="s">
        <v>217</v>
      </c>
      <c r="F64" s="3"/>
      <c r="G64" s="2" t="s">
        <v>320</v>
      </c>
      <c r="H64" s="7" t="s">
        <v>217</v>
      </c>
      <c r="I64" s="3"/>
      <c r="J64" s="2" t="s">
        <v>299</v>
      </c>
      <c r="K64" s="7" t="s">
        <v>217</v>
      </c>
    </row>
    <row r="65" spans="1:11" x14ac:dyDescent="0.3">
      <c r="A65" s="5" t="s">
        <v>322</v>
      </c>
      <c r="B65" s="8">
        <v>50</v>
      </c>
      <c r="D65" s="5" t="s">
        <v>323</v>
      </c>
      <c r="E65" s="8">
        <v>12</v>
      </c>
      <c r="G65" s="5" t="s">
        <v>322</v>
      </c>
      <c r="H65" s="8">
        <v>50</v>
      </c>
      <c r="J65" s="5" t="s">
        <v>302</v>
      </c>
      <c r="K65" s="8">
        <v>9.35</v>
      </c>
    </row>
    <row r="66" spans="1:11" x14ac:dyDescent="0.3">
      <c r="A66" s="5" t="s">
        <v>325</v>
      </c>
      <c r="B66" s="8">
        <v>15</v>
      </c>
      <c r="D66" s="5" t="s">
        <v>326</v>
      </c>
      <c r="E66" s="8">
        <v>13.75</v>
      </c>
      <c r="G66" s="5" t="s">
        <v>325</v>
      </c>
      <c r="H66" s="8">
        <v>15</v>
      </c>
      <c r="J66" s="5" t="s">
        <v>306</v>
      </c>
      <c r="K66" s="8">
        <v>14.4</v>
      </c>
    </row>
    <row r="67" spans="1:11" x14ac:dyDescent="0.3">
      <c r="A67" s="5" t="s">
        <v>328</v>
      </c>
      <c r="B67" s="8">
        <v>2</v>
      </c>
      <c r="D67" s="2" t="s">
        <v>334</v>
      </c>
      <c r="E67" s="7">
        <f>SUM(E65:E66)</f>
        <v>25.75</v>
      </c>
      <c r="G67" s="5" t="s">
        <v>329</v>
      </c>
      <c r="H67" s="8">
        <v>2.5</v>
      </c>
      <c r="J67" s="5" t="s">
        <v>310</v>
      </c>
      <c r="K67" s="8">
        <v>18</v>
      </c>
    </row>
    <row r="68" spans="1:11" x14ac:dyDescent="0.3">
      <c r="A68" s="5" t="s">
        <v>330</v>
      </c>
      <c r="B68" s="8">
        <v>2</v>
      </c>
      <c r="G68" s="5" t="s">
        <v>330</v>
      </c>
      <c r="H68" s="8">
        <v>2</v>
      </c>
      <c r="J68" s="2" t="s">
        <v>334</v>
      </c>
      <c r="K68" s="7">
        <f>SUM(K65:K67)</f>
        <v>41.75</v>
      </c>
    </row>
    <row r="69" spans="1:11" x14ac:dyDescent="0.3">
      <c r="A69" s="5" t="s">
        <v>331</v>
      </c>
      <c r="B69" s="8">
        <v>0.02</v>
      </c>
      <c r="G69" s="5" t="s">
        <v>331</v>
      </c>
      <c r="H69" s="8">
        <v>0.02</v>
      </c>
    </row>
    <row r="70" spans="1:11" x14ac:dyDescent="0.3">
      <c r="A70" s="5" t="s">
        <v>332</v>
      </c>
      <c r="B70" s="8">
        <v>0</v>
      </c>
      <c r="G70" s="5" t="s">
        <v>333</v>
      </c>
      <c r="H70" s="8">
        <v>0</v>
      </c>
    </row>
    <row r="71" spans="1:11" x14ac:dyDescent="0.3">
      <c r="A71" s="2" t="s">
        <v>334</v>
      </c>
      <c r="B71" s="7">
        <f>SUM(B65:B70)</f>
        <v>69.02</v>
      </c>
      <c r="G71" s="2" t="s">
        <v>334</v>
      </c>
      <c r="H71" s="7">
        <f>SUM(H65:H70)</f>
        <v>69.52</v>
      </c>
    </row>
    <row r="73" spans="1:11" x14ac:dyDescent="0.3">
      <c r="D73" s="2" t="s">
        <v>335</v>
      </c>
      <c r="E73" s="7" t="s">
        <v>217</v>
      </c>
      <c r="G73" s="1" t="s">
        <v>342</v>
      </c>
      <c r="H73" s="7" t="s">
        <v>217</v>
      </c>
      <c r="J73" s="2" t="s">
        <v>350</v>
      </c>
      <c r="K73" s="7" t="s">
        <v>217</v>
      </c>
    </row>
    <row r="74" spans="1:11" x14ac:dyDescent="0.3">
      <c r="D74" s="6" t="s">
        <v>336</v>
      </c>
      <c r="E74" s="8">
        <v>0</v>
      </c>
      <c r="G74" s="6" t="s">
        <v>343</v>
      </c>
      <c r="H74" s="8">
        <v>0</v>
      </c>
      <c r="J74" s="5" t="s">
        <v>351</v>
      </c>
      <c r="K74" s="8">
        <v>66.22</v>
      </c>
    </row>
    <row r="75" spans="1:11" x14ac:dyDescent="0.3">
      <c r="D75" s="6" t="s">
        <v>337</v>
      </c>
      <c r="E75" s="8">
        <v>3.2</v>
      </c>
      <c r="G75" s="6" t="s">
        <v>344</v>
      </c>
      <c r="H75" s="8">
        <v>8</v>
      </c>
      <c r="J75" s="5" t="s">
        <v>352</v>
      </c>
      <c r="K75" s="8">
        <v>101.98</v>
      </c>
    </row>
    <row r="76" spans="1:11" x14ac:dyDescent="0.3">
      <c r="D76" s="6" t="s">
        <v>338</v>
      </c>
      <c r="E76" s="8">
        <v>4.2</v>
      </c>
      <c r="G76" s="6" t="s">
        <v>345</v>
      </c>
      <c r="H76" s="8">
        <v>10.5</v>
      </c>
      <c r="J76" s="5" t="s">
        <v>353</v>
      </c>
      <c r="K76" s="8">
        <v>127.48</v>
      </c>
    </row>
    <row r="77" spans="1:11" x14ac:dyDescent="0.3">
      <c r="D77" s="6" t="s">
        <v>339</v>
      </c>
      <c r="E77" s="8">
        <v>3.9</v>
      </c>
      <c r="G77" s="6" t="s">
        <v>346</v>
      </c>
      <c r="H77" s="8">
        <v>9.25</v>
      </c>
      <c r="J77" s="2" t="s">
        <v>334</v>
      </c>
      <c r="K77" s="7">
        <f>SUM(K74:K76)</f>
        <v>295.68</v>
      </c>
    </row>
    <row r="78" spans="1:11" x14ac:dyDescent="0.3">
      <c r="D78" s="6" t="s">
        <v>340</v>
      </c>
      <c r="E78" s="8">
        <v>0.48</v>
      </c>
      <c r="G78" s="6" t="s">
        <v>347</v>
      </c>
      <c r="H78" s="8">
        <v>1.2</v>
      </c>
    </row>
    <row r="79" spans="1:11" x14ac:dyDescent="0.3">
      <c r="D79" s="6" t="s">
        <v>341</v>
      </c>
      <c r="E79" s="8">
        <v>0.65</v>
      </c>
      <c r="G79" s="6" t="s">
        <v>348</v>
      </c>
      <c r="H79" s="8">
        <v>4.3499999999999996</v>
      </c>
    </row>
    <row r="80" spans="1:11" x14ac:dyDescent="0.3">
      <c r="D80" s="2" t="s">
        <v>334</v>
      </c>
      <c r="E80" s="7">
        <f>SUM(E74:E79)</f>
        <v>12.430000000000001</v>
      </c>
      <c r="G80" s="2" t="s">
        <v>334</v>
      </c>
      <c r="H80" s="7">
        <f>SUM(H74:H79)</f>
        <v>33.299999999999997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B70F-72E1-42D9-8496-42C9BA421DED}">
  <dimension ref="A1:B189"/>
  <sheetViews>
    <sheetView workbookViewId="0">
      <selection activeCell="B187" sqref="B187"/>
    </sheetView>
  </sheetViews>
  <sheetFormatPr defaultRowHeight="14.4" x14ac:dyDescent="0.3"/>
  <cols>
    <col min="1" max="1" width="40.33203125" bestFit="1" customWidth="1"/>
    <col min="2" max="2" width="15.44140625" style="11" bestFit="1" customWidth="1"/>
    <col min="3" max="3" width="12.44140625" bestFit="1" customWidth="1"/>
    <col min="4" max="4" width="9.5546875" bestFit="1" customWidth="1"/>
    <col min="5" max="5" width="7" bestFit="1" customWidth="1"/>
    <col min="6" max="6" width="15.33203125" bestFit="1" customWidth="1"/>
    <col min="7" max="7" width="8.6640625" bestFit="1" customWidth="1"/>
    <col min="8" max="8" width="19.77734375" bestFit="1" customWidth="1"/>
    <col min="9" max="9" width="14.5546875" bestFit="1" customWidth="1"/>
    <col min="10" max="10" width="17.21875" bestFit="1" customWidth="1"/>
    <col min="11" max="11" width="23.6640625" bestFit="1" customWidth="1"/>
    <col min="12" max="12" width="15.6640625" bestFit="1" customWidth="1"/>
    <col min="13" max="13" width="14.21875" bestFit="1" customWidth="1"/>
    <col min="14" max="14" width="23" bestFit="1" customWidth="1"/>
  </cols>
  <sheetData>
    <row r="1" spans="1:2" x14ac:dyDescent="0.3">
      <c r="A1" s="14" t="s">
        <v>215</v>
      </c>
      <c r="B1" s="15" t="s">
        <v>356</v>
      </c>
    </row>
    <row r="2" spans="1:2" x14ac:dyDescent="0.3">
      <c r="A2" s="12" t="s">
        <v>354</v>
      </c>
      <c r="B2" s="13">
        <v>30000</v>
      </c>
    </row>
    <row r="3" spans="1:2" x14ac:dyDescent="0.3">
      <c r="A3" s="12" t="s">
        <v>355</v>
      </c>
      <c r="B3" s="13">
        <v>20000</v>
      </c>
    </row>
    <row r="4" spans="1:2" x14ac:dyDescent="0.3">
      <c r="A4" s="12" t="s">
        <v>357</v>
      </c>
      <c r="B4" s="13">
        <v>16000</v>
      </c>
    </row>
    <row r="5" spans="1:2" x14ac:dyDescent="0.3">
      <c r="A5" s="12" t="s">
        <v>358</v>
      </c>
      <c r="B5" s="13">
        <v>20000</v>
      </c>
    </row>
    <row r="6" spans="1:2" x14ac:dyDescent="0.3">
      <c r="A6" s="12" t="s">
        <v>359</v>
      </c>
      <c r="B6" s="13">
        <v>16000</v>
      </c>
    </row>
    <row r="7" spans="1:2" x14ac:dyDescent="0.3">
      <c r="A7" s="12" t="s">
        <v>106</v>
      </c>
      <c r="B7" s="13">
        <v>2027</v>
      </c>
    </row>
    <row r="8" spans="1:2" x14ac:dyDescent="0.3">
      <c r="A8" s="12" t="s">
        <v>107</v>
      </c>
      <c r="B8" s="13">
        <v>2027</v>
      </c>
    </row>
    <row r="9" spans="1:2" x14ac:dyDescent="0.3">
      <c r="A9" s="12" t="s">
        <v>108</v>
      </c>
      <c r="B9" s="13">
        <v>2027</v>
      </c>
    </row>
    <row r="10" spans="1:2" x14ac:dyDescent="0.3">
      <c r="A10" s="12" t="s">
        <v>109</v>
      </c>
      <c r="B10" s="13">
        <v>2027</v>
      </c>
    </row>
    <row r="11" spans="1:2" x14ac:dyDescent="0.3">
      <c r="A11" s="12" t="s">
        <v>110</v>
      </c>
      <c r="B11" s="13">
        <v>2027</v>
      </c>
    </row>
    <row r="12" spans="1:2" x14ac:dyDescent="0.3">
      <c r="A12" s="12" t="s">
        <v>111</v>
      </c>
      <c r="B12" s="13">
        <v>2027</v>
      </c>
    </row>
    <row r="13" spans="1:2" x14ac:dyDescent="0.3">
      <c r="A13" s="12" t="s">
        <v>112</v>
      </c>
      <c r="B13" s="13">
        <v>2027</v>
      </c>
    </row>
    <row r="14" spans="1:2" x14ac:dyDescent="0.3">
      <c r="A14" s="12" t="s">
        <v>113</v>
      </c>
      <c r="B14" s="13">
        <v>2027</v>
      </c>
    </row>
    <row r="15" spans="1:2" x14ac:dyDescent="0.3">
      <c r="A15" s="12" t="s">
        <v>114</v>
      </c>
      <c r="B15" s="13">
        <v>2027</v>
      </c>
    </row>
    <row r="16" spans="1:2" x14ac:dyDescent="0.3">
      <c r="A16" s="12" t="s">
        <v>115</v>
      </c>
      <c r="B16" s="13">
        <v>2027</v>
      </c>
    </row>
    <row r="17" spans="1:2" x14ac:dyDescent="0.3">
      <c r="A17" s="12" t="s">
        <v>116</v>
      </c>
      <c r="B17" s="13">
        <v>2027</v>
      </c>
    </row>
    <row r="18" spans="1:2" x14ac:dyDescent="0.3">
      <c r="A18" s="12" t="s">
        <v>117</v>
      </c>
      <c r="B18" s="13">
        <v>2027</v>
      </c>
    </row>
    <row r="19" spans="1:2" x14ac:dyDescent="0.3">
      <c r="A19" s="12" t="s">
        <v>118</v>
      </c>
      <c r="B19" s="13">
        <v>2027</v>
      </c>
    </row>
    <row r="20" spans="1:2" x14ac:dyDescent="0.3">
      <c r="A20" s="12" t="s">
        <v>119</v>
      </c>
      <c r="B20" s="13">
        <v>2027</v>
      </c>
    </row>
    <row r="21" spans="1:2" x14ac:dyDescent="0.3">
      <c r="A21" s="12" t="s">
        <v>120</v>
      </c>
      <c r="B21" s="13">
        <v>2027</v>
      </c>
    </row>
    <row r="22" spans="1:2" x14ac:dyDescent="0.3">
      <c r="A22" s="12" t="s">
        <v>121</v>
      </c>
      <c r="B22" s="13">
        <v>2027</v>
      </c>
    </row>
    <row r="23" spans="1:2" x14ac:dyDescent="0.3">
      <c r="A23" s="12" t="s">
        <v>122</v>
      </c>
      <c r="B23" s="13">
        <v>2027</v>
      </c>
    </row>
    <row r="24" spans="1:2" x14ac:dyDescent="0.3">
      <c r="A24" s="12" t="s">
        <v>123</v>
      </c>
      <c r="B24" s="13">
        <v>2027</v>
      </c>
    </row>
    <row r="25" spans="1:2" x14ac:dyDescent="0.3">
      <c r="A25" s="12" t="s">
        <v>124</v>
      </c>
      <c r="B25" s="13">
        <v>2027</v>
      </c>
    </row>
    <row r="26" spans="1:2" x14ac:dyDescent="0.3">
      <c r="A26" s="12" t="s">
        <v>125</v>
      </c>
      <c r="B26" s="13">
        <v>2027</v>
      </c>
    </row>
    <row r="27" spans="1:2" x14ac:dyDescent="0.3">
      <c r="A27" s="12" t="s">
        <v>126</v>
      </c>
      <c r="B27" s="13">
        <v>2027</v>
      </c>
    </row>
    <row r="28" spans="1:2" x14ac:dyDescent="0.3">
      <c r="A28" s="12" t="s">
        <v>127</v>
      </c>
      <c r="B28" s="13">
        <v>2027</v>
      </c>
    </row>
    <row r="29" spans="1:2" x14ac:dyDescent="0.3">
      <c r="A29" s="12" t="s">
        <v>128</v>
      </c>
      <c r="B29" s="13">
        <v>2027</v>
      </c>
    </row>
    <row r="30" spans="1:2" x14ac:dyDescent="0.3">
      <c r="A30" s="12" t="s">
        <v>129</v>
      </c>
      <c r="B30" s="13">
        <v>2027</v>
      </c>
    </row>
    <row r="31" spans="1:2" x14ac:dyDescent="0.3">
      <c r="A31" s="12" t="s">
        <v>130</v>
      </c>
      <c r="B31" s="13">
        <v>2027</v>
      </c>
    </row>
    <row r="32" spans="1:2" x14ac:dyDescent="0.3">
      <c r="A32" s="12" t="s">
        <v>131</v>
      </c>
      <c r="B32" s="13">
        <v>2027</v>
      </c>
    </row>
    <row r="33" spans="1:2" x14ac:dyDescent="0.3">
      <c r="A33" s="12" t="s">
        <v>132</v>
      </c>
      <c r="B33" s="13">
        <v>2027</v>
      </c>
    </row>
    <row r="34" spans="1:2" x14ac:dyDescent="0.3">
      <c r="A34" s="12" t="s">
        <v>133</v>
      </c>
      <c r="B34" s="13">
        <v>2027</v>
      </c>
    </row>
    <row r="35" spans="1:2" x14ac:dyDescent="0.3">
      <c r="A35" s="12" t="s">
        <v>134</v>
      </c>
      <c r="B35" s="13">
        <v>2027</v>
      </c>
    </row>
    <row r="36" spans="1:2" x14ac:dyDescent="0.3">
      <c r="A36" s="12" t="s">
        <v>135</v>
      </c>
      <c r="B36" s="13">
        <v>2027</v>
      </c>
    </row>
    <row r="37" spans="1:2" x14ac:dyDescent="0.3">
      <c r="A37" s="12" t="s">
        <v>136</v>
      </c>
      <c r="B37" s="13">
        <v>2027</v>
      </c>
    </row>
    <row r="38" spans="1:2" x14ac:dyDescent="0.3">
      <c r="A38" s="12" t="s">
        <v>137</v>
      </c>
      <c r="B38" s="13">
        <v>2027</v>
      </c>
    </row>
    <row r="39" spans="1:2" x14ac:dyDescent="0.3">
      <c r="A39" s="12" t="s">
        <v>138</v>
      </c>
      <c r="B39" s="13">
        <v>2027</v>
      </c>
    </row>
    <row r="40" spans="1:2" x14ac:dyDescent="0.3">
      <c r="A40" s="12" t="s">
        <v>139</v>
      </c>
      <c r="B40" s="13">
        <v>2027</v>
      </c>
    </row>
    <row r="41" spans="1:2" x14ac:dyDescent="0.3">
      <c r="A41" s="12" t="s">
        <v>140</v>
      </c>
      <c r="B41" s="13">
        <v>2027</v>
      </c>
    </row>
    <row r="42" spans="1:2" x14ac:dyDescent="0.3">
      <c r="A42" s="12" t="s">
        <v>141</v>
      </c>
      <c r="B42" s="13">
        <v>2027</v>
      </c>
    </row>
    <row r="43" spans="1:2" x14ac:dyDescent="0.3">
      <c r="A43" s="12" t="s">
        <v>142</v>
      </c>
      <c r="B43" s="13">
        <v>2027</v>
      </c>
    </row>
    <row r="44" spans="1:2" x14ac:dyDescent="0.3">
      <c r="A44" s="12" t="s">
        <v>143</v>
      </c>
      <c r="B44" s="13">
        <v>2027</v>
      </c>
    </row>
    <row r="45" spans="1:2" x14ac:dyDescent="0.3">
      <c r="A45" s="12" t="s">
        <v>144</v>
      </c>
      <c r="B45" s="13">
        <v>2027</v>
      </c>
    </row>
    <row r="46" spans="1:2" x14ac:dyDescent="0.3">
      <c r="A46" s="12" t="s">
        <v>145</v>
      </c>
      <c r="B46" s="13">
        <v>2027</v>
      </c>
    </row>
    <row r="47" spans="1:2" x14ac:dyDescent="0.3">
      <c r="A47" s="12" t="s">
        <v>146</v>
      </c>
      <c r="B47" s="13">
        <v>2027</v>
      </c>
    </row>
    <row r="48" spans="1:2" x14ac:dyDescent="0.3">
      <c r="A48" s="12" t="s">
        <v>147</v>
      </c>
      <c r="B48" s="13">
        <v>2027</v>
      </c>
    </row>
    <row r="49" spans="1:2" x14ac:dyDescent="0.3">
      <c r="A49" s="12" t="s">
        <v>148</v>
      </c>
      <c r="B49" s="13">
        <v>2027</v>
      </c>
    </row>
    <row r="50" spans="1:2" x14ac:dyDescent="0.3">
      <c r="A50" s="12" t="s">
        <v>149</v>
      </c>
      <c r="B50" s="13">
        <v>2027</v>
      </c>
    </row>
    <row r="51" spans="1:2" x14ac:dyDescent="0.3">
      <c r="A51" s="12" t="s">
        <v>150</v>
      </c>
      <c r="B51" s="13">
        <v>2027</v>
      </c>
    </row>
    <row r="52" spans="1:2" x14ac:dyDescent="0.3">
      <c r="A52" s="12" t="s">
        <v>151</v>
      </c>
      <c r="B52" s="13">
        <v>2027</v>
      </c>
    </row>
    <row r="53" spans="1:2" x14ac:dyDescent="0.3">
      <c r="A53" s="12" t="s">
        <v>152</v>
      </c>
      <c r="B53" s="13">
        <v>2027</v>
      </c>
    </row>
    <row r="54" spans="1:2" x14ac:dyDescent="0.3">
      <c r="A54" s="12" t="s">
        <v>153</v>
      </c>
      <c r="B54" s="13">
        <v>2027</v>
      </c>
    </row>
    <row r="55" spans="1:2" x14ac:dyDescent="0.3">
      <c r="A55" s="12" t="s">
        <v>154</v>
      </c>
      <c r="B55" s="13">
        <v>2027</v>
      </c>
    </row>
    <row r="56" spans="1:2" x14ac:dyDescent="0.3">
      <c r="A56" s="12" t="s">
        <v>155</v>
      </c>
      <c r="B56" s="13">
        <v>2027</v>
      </c>
    </row>
    <row r="57" spans="1:2" x14ac:dyDescent="0.3">
      <c r="A57" s="12" t="s">
        <v>156</v>
      </c>
      <c r="B57" s="13">
        <v>2027</v>
      </c>
    </row>
    <row r="58" spans="1:2" x14ac:dyDescent="0.3">
      <c r="A58" s="12" t="s">
        <v>157</v>
      </c>
      <c r="B58" s="13">
        <v>2027</v>
      </c>
    </row>
    <row r="59" spans="1:2" x14ac:dyDescent="0.3">
      <c r="A59" s="12" t="s">
        <v>158</v>
      </c>
      <c r="B59" s="13">
        <v>2027</v>
      </c>
    </row>
    <row r="60" spans="1:2" x14ac:dyDescent="0.3">
      <c r="A60" s="12" t="s">
        <v>159</v>
      </c>
      <c r="B60" s="13">
        <v>2027</v>
      </c>
    </row>
    <row r="61" spans="1:2" x14ac:dyDescent="0.3">
      <c r="A61" s="12" t="s">
        <v>160</v>
      </c>
      <c r="B61" s="13">
        <v>2027</v>
      </c>
    </row>
    <row r="62" spans="1:2" x14ac:dyDescent="0.3">
      <c r="A62" s="12" t="s">
        <v>161</v>
      </c>
      <c r="B62" s="13">
        <v>2027</v>
      </c>
    </row>
    <row r="63" spans="1:2" x14ac:dyDescent="0.3">
      <c r="A63" s="12" t="s">
        <v>162</v>
      </c>
      <c r="B63" s="13">
        <v>2027</v>
      </c>
    </row>
    <row r="64" spans="1:2" x14ac:dyDescent="0.3">
      <c r="A64" s="12" t="s">
        <v>163</v>
      </c>
      <c r="B64" s="13">
        <v>2027</v>
      </c>
    </row>
    <row r="65" spans="1:2" x14ac:dyDescent="0.3">
      <c r="A65" s="12" t="s">
        <v>164</v>
      </c>
      <c r="B65" s="13">
        <v>2027</v>
      </c>
    </row>
    <row r="66" spans="1:2" x14ac:dyDescent="0.3">
      <c r="A66" s="12" t="s">
        <v>165</v>
      </c>
      <c r="B66" s="13">
        <v>2027</v>
      </c>
    </row>
    <row r="67" spans="1:2" x14ac:dyDescent="0.3">
      <c r="A67" s="12" t="s">
        <v>166</v>
      </c>
      <c r="B67" s="13">
        <v>2027</v>
      </c>
    </row>
    <row r="68" spans="1:2" x14ac:dyDescent="0.3">
      <c r="A68" s="12" t="s">
        <v>167</v>
      </c>
      <c r="B68" s="13">
        <v>2027</v>
      </c>
    </row>
    <row r="69" spans="1:2" x14ac:dyDescent="0.3">
      <c r="A69" s="12" t="s">
        <v>168</v>
      </c>
      <c r="B69" s="13">
        <v>2027</v>
      </c>
    </row>
    <row r="70" spans="1:2" x14ac:dyDescent="0.3">
      <c r="A70" s="12" t="s">
        <v>169</v>
      </c>
      <c r="B70" s="13">
        <v>2027</v>
      </c>
    </row>
    <row r="71" spans="1:2" x14ac:dyDescent="0.3">
      <c r="A71" s="12" t="s">
        <v>170</v>
      </c>
      <c r="B71" s="13">
        <v>2027</v>
      </c>
    </row>
    <row r="72" spans="1:2" x14ac:dyDescent="0.3">
      <c r="A72" s="12" t="s">
        <v>171</v>
      </c>
      <c r="B72" s="13">
        <v>2027</v>
      </c>
    </row>
    <row r="73" spans="1:2" x14ac:dyDescent="0.3">
      <c r="A73" s="12" t="s">
        <v>172</v>
      </c>
      <c r="B73" s="13">
        <v>2027</v>
      </c>
    </row>
    <row r="74" spans="1:2" x14ac:dyDescent="0.3">
      <c r="A74" s="12" t="s">
        <v>173</v>
      </c>
      <c r="B74" s="13">
        <v>2027</v>
      </c>
    </row>
    <row r="75" spans="1:2" x14ac:dyDescent="0.3">
      <c r="A75" s="12" t="s">
        <v>174</v>
      </c>
      <c r="B75" s="13">
        <v>2027</v>
      </c>
    </row>
    <row r="76" spans="1:2" x14ac:dyDescent="0.3">
      <c r="A76" s="12" t="s">
        <v>175</v>
      </c>
      <c r="B76" s="13">
        <v>2027</v>
      </c>
    </row>
    <row r="77" spans="1:2" x14ac:dyDescent="0.3">
      <c r="A77" s="12" t="s">
        <v>176</v>
      </c>
      <c r="B77" s="13">
        <v>2027</v>
      </c>
    </row>
    <row r="78" spans="1:2" x14ac:dyDescent="0.3">
      <c r="A78" s="12" t="s">
        <v>177</v>
      </c>
      <c r="B78" s="13">
        <v>2027</v>
      </c>
    </row>
    <row r="79" spans="1:2" x14ac:dyDescent="0.3">
      <c r="A79" s="12" t="s">
        <v>178</v>
      </c>
      <c r="B79" s="13">
        <v>2027</v>
      </c>
    </row>
    <row r="80" spans="1:2" x14ac:dyDescent="0.3">
      <c r="A80" s="12" t="s">
        <v>179</v>
      </c>
      <c r="B80" s="13">
        <v>2027</v>
      </c>
    </row>
    <row r="81" spans="1:2" x14ac:dyDescent="0.3">
      <c r="A81" s="12" t="s">
        <v>360</v>
      </c>
      <c r="B81" s="13">
        <v>20000</v>
      </c>
    </row>
    <row r="82" spans="1:2" x14ac:dyDescent="0.3">
      <c r="A82" s="12" t="s">
        <v>361</v>
      </c>
      <c r="B82" s="13">
        <v>10000</v>
      </c>
    </row>
    <row r="83" spans="1:2" x14ac:dyDescent="0.3">
      <c r="A83" s="12" t="s">
        <v>362</v>
      </c>
      <c r="B83" s="13">
        <v>20000</v>
      </c>
    </row>
    <row r="84" spans="1:2" x14ac:dyDescent="0.3">
      <c r="A84" s="12" t="s">
        <v>365</v>
      </c>
      <c r="B84" s="13">
        <v>2000</v>
      </c>
    </row>
    <row r="85" spans="1:2" x14ac:dyDescent="0.3">
      <c r="A85" s="12" t="s">
        <v>40</v>
      </c>
      <c r="B85" s="13">
        <v>1500</v>
      </c>
    </row>
    <row r="86" spans="1:2" x14ac:dyDescent="0.3">
      <c r="A86" s="12" t="s">
        <v>366</v>
      </c>
      <c r="B86" s="13">
        <v>1500</v>
      </c>
    </row>
    <row r="87" spans="1:2" x14ac:dyDescent="0.3">
      <c r="A87" s="12" t="s">
        <v>367</v>
      </c>
      <c r="B87" s="13">
        <v>3750</v>
      </c>
    </row>
    <row r="88" spans="1:2" x14ac:dyDescent="0.3">
      <c r="A88" s="12" t="s">
        <v>368</v>
      </c>
      <c r="B88" s="13">
        <v>3750</v>
      </c>
    </row>
    <row r="89" spans="1:2" x14ac:dyDescent="0.3">
      <c r="A89" s="12" t="s">
        <v>369</v>
      </c>
      <c r="B89" s="13">
        <v>3750</v>
      </c>
    </row>
    <row r="90" spans="1:2" x14ac:dyDescent="0.3">
      <c r="A90" s="12" t="s">
        <v>370</v>
      </c>
      <c r="B90" s="13">
        <v>3750</v>
      </c>
    </row>
    <row r="91" spans="1:2" x14ac:dyDescent="0.3">
      <c r="A91" s="12" t="s">
        <v>371</v>
      </c>
      <c r="B91" s="13">
        <v>5000</v>
      </c>
    </row>
    <row r="92" spans="1:2" x14ac:dyDescent="0.3">
      <c r="A92" s="12" t="s">
        <v>372</v>
      </c>
      <c r="B92" s="13">
        <v>5000</v>
      </c>
    </row>
    <row r="93" spans="1:2" x14ac:dyDescent="0.3">
      <c r="A93" s="12" t="s">
        <v>373</v>
      </c>
      <c r="B93" s="13">
        <v>2000</v>
      </c>
    </row>
    <row r="94" spans="1:2" x14ac:dyDescent="0.3">
      <c r="A94" s="12" t="s">
        <v>374</v>
      </c>
      <c r="B94" s="13">
        <v>5555</v>
      </c>
    </row>
    <row r="95" spans="1:2" x14ac:dyDescent="0.3">
      <c r="A95" s="12" t="s">
        <v>59</v>
      </c>
      <c r="B95" s="13">
        <v>5555</v>
      </c>
    </row>
    <row r="96" spans="1:2" x14ac:dyDescent="0.3">
      <c r="A96" s="12" t="s">
        <v>60</v>
      </c>
      <c r="B96" s="13">
        <v>5555</v>
      </c>
    </row>
    <row r="97" spans="1:2" x14ac:dyDescent="0.3">
      <c r="A97" s="12" t="s">
        <v>61</v>
      </c>
      <c r="B97" s="13">
        <v>5555</v>
      </c>
    </row>
    <row r="98" spans="1:2" x14ac:dyDescent="0.3">
      <c r="A98" s="12" t="s">
        <v>375</v>
      </c>
      <c r="B98" s="13">
        <v>5555</v>
      </c>
    </row>
    <row r="99" spans="1:2" x14ac:dyDescent="0.3">
      <c r="A99" s="12" t="s">
        <v>376</v>
      </c>
      <c r="B99" s="13">
        <v>5555</v>
      </c>
    </row>
    <row r="100" spans="1:2" x14ac:dyDescent="0.3">
      <c r="A100" s="12" t="s">
        <v>69</v>
      </c>
      <c r="B100" s="13">
        <v>5555</v>
      </c>
    </row>
    <row r="101" spans="1:2" x14ac:dyDescent="0.3">
      <c r="A101" s="12" t="s">
        <v>70</v>
      </c>
      <c r="B101" s="13">
        <v>5555</v>
      </c>
    </row>
    <row r="102" spans="1:2" x14ac:dyDescent="0.3">
      <c r="A102" s="12" t="s">
        <v>71</v>
      </c>
      <c r="B102" s="13">
        <v>5555</v>
      </c>
    </row>
    <row r="103" spans="1:2" x14ac:dyDescent="0.3">
      <c r="A103" s="12" t="s">
        <v>73</v>
      </c>
      <c r="B103" s="13">
        <v>2031</v>
      </c>
    </row>
    <row r="104" spans="1:2" x14ac:dyDescent="0.3">
      <c r="A104" s="12" t="s">
        <v>74</v>
      </c>
      <c r="B104" s="13">
        <v>2031</v>
      </c>
    </row>
    <row r="105" spans="1:2" x14ac:dyDescent="0.3">
      <c r="A105" s="12" t="s">
        <v>75</v>
      </c>
      <c r="B105" s="13">
        <v>2031</v>
      </c>
    </row>
    <row r="106" spans="1:2" x14ac:dyDescent="0.3">
      <c r="A106" s="12" t="s">
        <v>76</v>
      </c>
      <c r="B106" s="13">
        <v>2031</v>
      </c>
    </row>
    <row r="107" spans="1:2" x14ac:dyDescent="0.3">
      <c r="A107" s="12" t="s">
        <v>77</v>
      </c>
      <c r="B107" s="13">
        <v>2031</v>
      </c>
    </row>
    <row r="108" spans="1:2" x14ac:dyDescent="0.3">
      <c r="A108" s="12" t="s">
        <v>78</v>
      </c>
      <c r="B108" s="13">
        <v>2031</v>
      </c>
    </row>
    <row r="109" spans="1:2" x14ac:dyDescent="0.3">
      <c r="A109" s="12" t="s">
        <v>79</v>
      </c>
      <c r="B109" s="13">
        <v>2031</v>
      </c>
    </row>
    <row r="110" spans="1:2" x14ac:dyDescent="0.3">
      <c r="A110" s="12" t="s">
        <v>80</v>
      </c>
      <c r="B110" s="13">
        <v>2031</v>
      </c>
    </row>
    <row r="111" spans="1:2" x14ac:dyDescent="0.3">
      <c r="A111" s="12" t="s">
        <v>81</v>
      </c>
      <c r="B111" s="13">
        <v>2031</v>
      </c>
    </row>
    <row r="112" spans="1:2" x14ac:dyDescent="0.3">
      <c r="A112" s="12" t="s">
        <v>82</v>
      </c>
      <c r="B112" s="13">
        <v>2031</v>
      </c>
    </row>
    <row r="113" spans="1:2" x14ac:dyDescent="0.3">
      <c r="A113" s="12" t="s">
        <v>83</v>
      </c>
      <c r="B113" s="13">
        <v>2031</v>
      </c>
    </row>
    <row r="114" spans="1:2" x14ac:dyDescent="0.3">
      <c r="A114" s="12" t="s">
        <v>84</v>
      </c>
      <c r="B114" s="13">
        <v>2031</v>
      </c>
    </row>
    <row r="115" spans="1:2" x14ac:dyDescent="0.3">
      <c r="A115" s="12" t="s">
        <v>85</v>
      </c>
      <c r="B115" s="13">
        <v>2031</v>
      </c>
    </row>
    <row r="116" spans="1:2" x14ac:dyDescent="0.3">
      <c r="A116" s="12" t="s">
        <v>86</v>
      </c>
      <c r="B116" s="13">
        <v>2031</v>
      </c>
    </row>
    <row r="117" spans="1:2" x14ac:dyDescent="0.3">
      <c r="A117" s="12" t="s">
        <v>87</v>
      </c>
      <c r="B117" s="13">
        <v>2031</v>
      </c>
    </row>
    <row r="118" spans="1:2" x14ac:dyDescent="0.3">
      <c r="A118" s="12" t="s">
        <v>88</v>
      </c>
      <c r="B118" s="13">
        <v>2031</v>
      </c>
    </row>
    <row r="119" spans="1:2" x14ac:dyDescent="0.3">
      <c r="A119" s="12" t="s">
        <v>89</v>
      </c>
      <c r="B119" s="13">
        <v>2031</v>
      </c>
    </row>
    <row r="120" spans="1:2" x14ac:dyDescent="0.3">
      <c r="A120" s="12" t="s">
        <v>90</v>
      </c>
      <c r="B120" s="13">
        <v>2031</v>
      </c>
    </row>
    <row r="121" spans="1:2" x14ac:dyDescent="0.3">
      <c r="A121" s="12" t="s">
        <v>91</v>
      </c>
      <c r="B121" s="13">
        <v>2031</v>
      </c>
    </row>
    <row r="122" spans="1:2" x14ac:dyDescent="0.3">
      <c r="A122" s="12" t="s">
        <v>92</v>
      </c>
      <c r="B122" s="13">
        <v>2031</v>
      </c>
    </row>
    <row r="123" spans="1:2" x14ac:dyDescent="0.3">
      <c r="A123" s="12" t="s">
        <v>93</v>
      </c>
      <c r="B123" s="13">
        <v>2031</v>
      </c>
    </row>
    <row r="124" spans="1:2" x14ac:dyDescent="0.3">
      <c r="A124" s="12" t="s">
        <v>94</v>
      </c>
      <c r="B124" s="13">
        <v>2031</v>
      </c>
    </row>
    <row r="125" spans="1:2" x14ac:dyDescent="0.3">
      <c r="A125" s="12" t="s">
        <v>95</v>
      </c>
      <c r="B125" s="13">
        <v>2031</v>
      </c>
    </row>
    <row r="126" spans="1:2" x14ac:dyDescent="0.3">
      <c r="A126" s="12" t="s">
        <v>96</v>
      </c>
      <c r="B126" s="13">
        <v>2031</v>
      </c>
    </row>
    <row r="127" spans="1:2" x14ac:dyDescent="0.3">
      <c r="A127" s="12" t="s">
        <v>97</v>
      </c>
      <c r="B127" s="13">
        <v>2031</v>
      </c>
    </row>
    <row r="128" spans="1:2" x14ac:dyDescent="0.3">
      <c r="A128" s="12" t="s">
        <v>98</v>
      </c>
      <c r="B128" s="13">
        <v>2031</v>
      </c>
    </row>
    <row r="129" spans="1:2" x14ac:dyDescent="0.3">
      <c r="A129" s="12" t="s">
        <v>99</v>
      </c>
      <c r="B129" s="13">
        <v>2031</v>
      </c>
    </row>
    <row r="130" spans="1:2" x14ac:dyDescent="0.3">
      <c r="A130" s="12" t="s">
        <v>100</v>
      </c>
      <c r="B130" s="13">
        <v>2031</v>
      </c>
    </row>
    <row r="131" spans="1:2" x14ac:dyDescent="0.3">
      <c r="A131" s="12" t="s">
        <v>101</v>
      </c>
      <c r="B131" s="13">
        <v>2031</v>
      </c>
    </row>
    <row r="132" spans="1:2" x14ac:dyDescent="0.3">
      <c r="A132" s="12" t="s">
        <v>102</v>
      </c>
      <c r="B132" s="13">
        <v>2031</v>
      </c>
    </row>
    <row r="133" spans="1:2" x14ac:dyDescent="0.3">
      <c r="A133" s="12" t="s">
        <v>103</v>
      </c>
      <c r="B133" s="13">
        <v>2031</v>
      </c>
    </row>
    <row r="134" spans="1:2" x14ac:dyDescent="0.3">
      <c r="A134" s="12" t="s">
        <v>104</v>
      </c>
      <c r="B134" s="13">
        <v>2031</v>
      </c>
    </row>
    <row r="135" spans="1:2" x14ac:dyDescent="0.3">
      <c r="A135" s="12" t="s">
        <v>181</v>
      </c>
      <c r="B135" s="13">
        <v>970</v>
      </c>
    </row>
    <row r="136" spans="1:2" x14ac:dyDescent="0.3">
      <c r="A136" s="12" t="s">
        <v>182</v>
      </c>
      <c r="B136" s="13">
        <v>970</v>
      </c>
    </row>
    <row r="137" spans="1:2" x14ac:dyDescent="0.3">
      <c r="A137" s="12" t="s">
        <v>183</v>
      </c>
      <c r="B137" s="13">
        <v>970</v>
      </c>
    </row>
    <row r="138" spans="1:2" x14ac:dyDescent="0.3">
      <c r="A138" s="12" t="s">
        <v>184</v>
      </c>
      <c r="B138" s="13">
        <v>970</v>
      </c>
    </row>
    <row r="139" spans="1:2" x14ac:dyDescent="0.3">
      <c r="A139" s="12" t="s">
        <v>185</v>
      </c>
      <c r="B139" s="13">
        <v>970</v>
      </c>
    </row>
    <row r="140" spans="1:2" x14ac:dyDescent="0.3">
      <c r="A140" s="12" t="s">
        <v>186</v>
      </c>
      <c r="B140" s="13">
        <v>970</v>
      </c>
    </row>
    <row r="141" spans="1:2" x14ac:dyDescent="0.3">
      <c r="A141" s="12" t="s">
        <v>187</v>
      </c>
      <c r="B141" s="13">
        <v>970</v>
      </c>
    </row>
    <row r="142" spans="1:2" x14ac:dyDescent="0.3">
      <c r="A142" s="12" t="s">
        <v>188</v>
      </c>
      <c r="B142" s="13">
        <v>970</v>
      </c>
    </row>
    <row r="143" spans="1:2" x14ac:dyDescent="0.3">
      <c r="A143" s="12" t="s">
        <v>189</v>
      </c>
      <c r="B143" s="13">
        <v>970</v>
      </c>
    </row>
    <row r="144" spans="1:2" x14ac:dyDescent="0.3">
      <c r="A144" s="12" t="s">
        <v>190</v>
      </c>
      <c r="B144" s="13">
        <v>970</v>
      </c>
    </row>
    <row r="145" spans="1:2" x14ac:dyDescent="0.3">
      <c r="A145" s="12" t="s">
        <v>191</v>
      </c>
      <c r="B145" s="13">
        <v>970</v>
      </c>
    </row>
    <row r="146" spans="1:2" x14ac:dyDescent="0.3">
      <c r="A146" s="12" t="s">
        <v>192</v>
      </c>
      <c r="B146" s="13">
        <v>970</v>
      </c>
    </row>
    <row r="147" spans="1:2" x14ac:dyDescent="0.3">
      <c r="A147" s="12" t="s">
        <v>193</v>
      </c>
      <c r="B147" s="13">
        <v>970</v>
      </c>
    </row>
    <row r="148" spans="1:2" x14ac:dyDescent="0.3">
      <c r="A148" s="12" t="s">
        <v>194</v>
      </c>
      <c r="B148" s="13">
        <v>970</v>
      </c>
    </row>
    <row r="149" spans="1:2" x14ac:dyDescent="0.3">
      <c r="A149" s="12" t="s">
        <v>195</v>
      </c>
      <c r="B149" s="13">
        <v>970</v>
      </c>
    </row>
    <row r="150" spans="1:2" x14ac:dyDescent="0.3">
      <c r="A150" s="12" t="s">
        <v>196</v>
      </c>
      <c r="B150" s="13">
        <v>970</v>
      </c>
    </row>
    <row r="151" spans="1:2" x14ac:dyDescent="0.3">
      <c r="A151" s="12" t="s">
        <v>197</v>
      </c>
      <c r="B151" s="13">
        <v>970</v>
      </c>
    </row>
    <row r="152" spans="1:2" x14ac:dyDescent="0.3">
      <c r="A152" s="12" t="s">
        <v>198</v>
      </c>
      <c r="B152" s="13">
        <v>970</v>
      </c>
    </row>
    <row r="153" spans="1:2" x14ac:dyDescent="0.3">
      <c r="A153" s="12" t="s">
        <v>199</v>
      </c>
      <c r="B153" s="13">
        <v>970</v>
      </c>
    </row>
    <row r="154" spans="1:2" x14ac:dyDescent="0.3">
      <c r="A154" s="12" t="s">
        <v>200</v>
      </c>
      <c r="B154" s="13">
        <v>970</v>
      </c>
    </row>
    <row r="155" spans="1:2" x14ac:dyDescent="0.3">
      <c r="A155" s="12" t="s">
        <v>201</v>
      </c>
      <c r="B155" s="13">
        <v>970</v>
      </c>
    </row>
    <row r="156" spans="1:2" x14ac:dyDescent="0.3">
      <c r="A156" s="12" t="s">
        <v>202</v>
      </c>
      <c r="B156" s="13">
        <v>970</v>
      </c>
    </row>
    <row r="157" spans="1:2" x14ac:dyDescent="0.3">
      <c r="A157" s="12" t="s">
        <v>203</v>
      </c>
      <c r="B157" s="13">
        <v>970</v>
      </c>
    </row>
    <row r="158" spans="1:2" x14ac:dyDescent="0.3">
      <c r="A158" s="12" t="s">
        <v>204</v>
      </c>
      <c r="B158" s="13">
        <v>970</v>
      </c>
    </row>
    <row r="159" spans="1:2" x14ac:dyDescent="0.3">
      <c r="A159" s="12" t="s">
        <v>205</v>
      </c>
      <c r="B159" s="13">
        <v>970</v>
      </c>
    </row>
    <row r="160" spans="1:2" x14ac:dyDescent="0.3">
      <c r="A160" s="12" t="s">
        <v>206</v>
      </c>
      <c r="B160" s="13">
        <v>970</v>
      </c>
    </row>
    <row r="161" spans="1:2" x14ac:dyDescent="0.3">
      <c r="A161" s="12" t="s">
        <v>207</v>
      </c>
      <c r="B161" s="13">
        <v>970</v>
      </c>
    </row>
    <row r="162" spans="1:2" x14ac:dyDescent="0.3">
      <c r="A162" s="12" t="s">
        <v>208</v>
      </c>
      <c r="B162" s="13">
        <v>970</v>
      </c>
    </row>
    <row r="163" spans="1:2" x14ac:dyDescent="0.3">
      <c r="A163" s="12" t="s">
        <v>209</v>
      </c>
      <c r="B163" s="13">
        <v>970</v>
      </c>
    </row>
    <row r="164" spans="1:2" x14ac:dyDescent="0.3">
      <c r="A164" s="12" t="s">
        <v>210</v>
      </c>
      <c r="B164" s="13">
        <v>970</v>
      </c>
    </row>
    <row r="165" spans="1:2" x14ac:dyDescent="0.3">
      <c r="A165" s="12" t="s">
        <v>211</v>
      </c>
      <c r="B165" s="13">
        <v>970</v>
      </c>
    </row>
    <row r="166" spans="1:2" x14ac:dyDescent="0.3">
      <c r="A166" s="12" t="s">
        <v>212</v>
      </c>
      <c r="B166" s="13">
        <v>970</v>
      </c>
    </row>
    <row r="167" spans="1:2" x14ac:dyDescent="0.3">
      <c r="A167" s="12" t="s">
        <v>213</v>
      </c>
      <c r="B167" s="13">
        <v>970</v>
      </c>
    </row>
    <row r="168" spans="1:2" x14ac:dyDescent="0.3">
      <c r="A168" s="12" t="s">
        <v>54</v>
      </c>
      <c r="B168" s="13">
        <v>6666</v>
      </c>
    </row>
    <row r="169" spans="1:2" x14ac:dyDescent="0.3">
      <c r="A169" s="12" t="s">
        <v>55</v>
      </c>
      <c r="B169" s="13">
        <v>6666</v>
      </c>
    </row>
    <row r="170" spans="1:2" x14ac:dyDescent="0.3">
      <c r="A170" s="12" t="s">
        <v>56</v>
      </c>
      <c r="B170" s="13">
        <v>6666</v>
      </c>
    </row>
    <row r="171" spans="1:2" x14ac:dyDescent="0.3">
      <c r="A171" s="12" t="s">
        <v>377</v>
      </c>
      <c r="B171" s="13">
        <v>5000</v>
      </c>
    </row>
    <row r="172" spans="1:2" x14ac:dyDescent="0.3">
      <c r="A172" s="12" t="s">
        <v>378</v>
      </c>
      <c r="B172" s="13">
        <v>5000</v>
      </c>
    </row>
    <row r="173" spans="1:2" x14ac:dyDescent="0.3">
      <c r="A173" s="12" t="s">
        <v>379</v>
      </c>
      <c r="B173" s="13">
        <v>5000</v>
      </c>
    </row>
    <row r="174" spans="1:2" x14ac:dyDescent="0.3">
      <c r="A174" s="12" t="s">
        <v>380</v>
      </c>
      <c r="B174" s="13">
        <v>5000</v>
      </c>
    </row>
    <row r="175" spans="1:2" x14ac:dyDescent="0.3">
      <c r="A175" s="12" t="s">
        <v>381</v>
      </c>
      <c r="B175" s="13">
        <v>5000</v>
      </c>
    </row>
    <row r="176" spans="1:2" x14ac:dyDescent="0.3">
      <c r="A176" s="12" t="s">
        <v>382</v>
      </c>
      <c r="B176" s="13">
        <v>10000</v>
      </c>
    </row>
    <row r="177" spans="1:2" x14ac:dyDescent="0.3">
      <c r="A177" s="12" t="s">
        <v>363</v>
      </c>
      <c r="B177" s="13">
        <v>4000</v>
      </c>
    </row>
    <row r="178" spans="1:2" x14ac:dyDescent="0.3">
      <c r="A178" s="12" t="s">
        <v>364</v>
      </c>
      <c r="B178" s="13">
        <v>12000</v>
      </c>
    </row>
    <row r="179" spans="1:2" x14ac:dyDescent="0.3">
      <c r="A179" s="12" t="s">
        <v>383</v>
      </c>
      <c r="B179" s="13">
        <v>100000</v>
      </c>
    </row>
    <row r="180" spans="1:2" x14ac:dyDescent="0.3">
      <c r="A180" s="12" t="s">
        <v>384</v>
      </c>
      <c r="B180" s="13">
        <v>4000</v>
      </c>
    </row>
    <row r="181" spans="1:2" x14ac:dyDescent="0.3">
      <c r="A181" s="12" t="s">
        <v>385</v>
      </c>
      <c r="B181" s="13">
        <v>600</v>
      </c>
    </row>
    <row r="182" spans="1:2" x14ac:dyDescent="0.3">
      <c r="A182" s="12" t="s">
        <v>386</v>
      </c>
      <c r="B182" s="13">
        <v>100</v>
      </c>
    </row>
    <row r="183" spans="1:2" x14ac:dyDescent="0.3">
      <c r="A183" s="12" t="s">
        <v>387</v>
      </c>
      <c r="B183" s="13">
        <v>15000</v>
      </c>
    </row>
    <row r="184" spans="1:2" x14ac:dyDescent="0.3">
      <c r="A184" s="12" t="s">
        <v>388</v>
      </c>
      <c r="B184" s="13">
        <v>3500</v>
      </c>
    </row>
    <row r="185" spans="1:2" x14ac:dyDescent="0.3">
      <c r="A185" s="12" t="s">
        <v>389</v>
      </c>
      <c r="B185" s="13">
        <v>150000</v>
      </c>
    </row>
    <row r="186" spans="1:2" x14ac:dyDescent="0.3">
      <c r="A186" s="12" t="s">
        <v>390</v>
      </c>
      <c r="B186" s="13">
        <v>40000</v>
      </c>
    </row>
    <row r="187" spans="1:2" x14ac:dyDescent="0.3">
      <c r="A187" s="12" t="s">
        <v>391</v>
      </c>
      <c r="B187" s="13">
        <v>25000</v>
      </c>
    </row>
    <row r="188" spans="1:2" x14ac:dyDescent="0.3">
      <c r="A188" s="12" t="s">
        <v>392</v>
      </c>
      <c r="B188" s="13">
        <v>1000</v>
      </c>
    </row>
    <row r="189" spans="1:2" x14ac:dyDescent="0.3">
      <c r="A189" s="14" t="s">
        <v>393</v>
      </c>
      <c r="B189" s="15">
        <f>SUM(B2:B188)</f>
        <v>891193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6851-EC9B-4ECF-A452-5B7228280C23}">
  <dimension ref="A1:BA61"/>
  <sheetViews>
    <sheetView workbookViewId="0">
      <selection activeCell="E18" sqref="E18"/>
    </sheetView>
  </sheetViews>
  <sheetFormatPr defaultRowHeight="14.4" x14ac:dyDescent="0.3"/>
  <cols>
    <col min="1" max="1" width="12.88671875" style="17" bestFit="1" customWidth="1"/>
    <col min="2" max="2" width="12.6640625" style="17" customWidth="1"/>
    <col min="3" max="3" width="12.44140625" style="17" customWidth="1"/>
    <col min="4" max="4" width="43.21875" style="18" bestFit="1" customWidth="1"/>
    <col min="5" max="5" width="24.6640625" style="17" bestFit="1" customWidth="1"/>
    <col min="6" max="6" width="6.6640625" style="16" customWidth="1"/>
    <col min="7" max="7" width="11" style="17" bestFit="1" customWidth="1"/>
    <col min="8" max="8" width="19.21875" style="17" bestFit="1" customWidth="1"/>
    <col min="9" max="9" width="17.44140625" style="17" bestFit="1" customWidth="1"/>
    <col min="10" max="10" width="16.21875" style="17" bestFit="1" customWidth="1"/>
    <col min="11" max="11" width="11.5546875" style="17" bestFit="1" customWidth="1"/>
    <col min="12" max="12" width="7.6640625" style="17" bestFit="1" customWidth="1"/>
    <col min="13" max="13" width="13.33203125" style="17" bestFit="1" customWidth="1"/>
    <col min="14" max="14" width="10.88671875" style="17" bestFit="1" customWidth="1"/>
    <col min="15" max="15" width="11.109375" style="17" bestFit="1" customWidth="1"/>
    <col min="16" max="16" width="10.5546875" style="17" bestFit="1" customWidth="1"/>
    <col min="17" max="17" width="7.33203125" style="17" bestFit="1" customWidth="1"/>
    <col min="18" max="18" width="13.21875" style="17" bestFit="1" customWidth="1"/>
    <col min="19" max="19" width="14.109375" style="17" bestFit="1" customWidth="1"/>
    <col min="20" max="20" width="18.88671875" style="17" bestFit="1" customWidth="1"/>
    <col min="21" max="21" width="7.6640625" style="17" bestFit="1" customWidth="1"/>
    <col min="22" max="22" width="8.88671875" style="17"/>
    <col min="23" max="23" width="13.33203125" style="17" bestFit="1" customWidth="1"/>
    <col min="24" max="16384" width="8.88671875" style="17"/>
  </cols>
  <sheetData>
    <row r="1" spans="1:53" x14ac:dyDescent="0.3">
      <c r="B1" s="16">
        <v>0.25</v>
      </c>
      <c r="I1" s="16">
        <v>0.1</v>
      </c>
      <c r="J1" s="16">
        <v>0.06</v>
      </c>
      <c r="K1" s="16">
        <v>0.09</v>
      </c>
      <c r="L1" s="16">
        <v>0.1</v>
      </c>
      <c r="M1" s="16">
        <v>0.15</v>
      </c>
      <c r="N1" s="16">
        <v>0.2</v>
      </c>
      <c r="O1" s="16">
        <v>0.2</v>
      </c>
      <c r="P1" s="16">
        <v>0.09</v>
      </c>
      <c r="Q1" s="16">
        <v>0.09</v>
      </c>
      <c r="R1" s="16">
        <v>0.15</v>
      </c>
      <c r="S1" s="16">
        <v>0.2</v>
      </c>
      <c r="T1" s="16">
        <v>0.15</v>
      </c>
      <c r="U1" s="16">
        <v>0.1</v>
      </c>
      <c r="V1" s="16">
        <v>0.05</v>
      </c>
      <c r="W1" s="16">
        <v>0.1</v>
      </c>
    </row>
    <row r="2" spans="1:53" x14ac:dyDescent="0.3">
      <c r="A2" s="17" t="s">
        <v>412</v>
      </c>
      <c r="B2" s="17" t="s">
        <v>415</v>
      </c>
      <c r="C2" s="17" t="s">
        <v>414</v>
      </c>
      <c r="D2" s="18" t="s">
        <v>397</v>
      </c>
      <c r="E2" s="17" t="s">
        <v>394</v>
      </c>
      <c r="F2" s="16" t="s">
        <v>395</v>
      </c>
      <c r="G2" s="17" t="s">
        <v>396</v>
      </c>
      <c r="H2" s="17" t="s">
        <v>398</v>
      </c>
      <c r="I2" s="17" t="s">
        <v>399</v>
      </c>
      <c r="J2" s="17" t="s">
        <v>400</v>
      </c>
      <c r="K2" s="17" t="s">
        <v>401</v>
      </c>
      <c r="L2" s="17" t="s">
        <v>402</v>
      </c>
      <c r="M2" s="17" t="s">
        <v>404</v>
      </c>
      <c r="N2" s="17" t="s">
        <v>403</v>
      </c>
      <c r="O2" s="17" t="s">
        <v>413</v>
      </c>
      <c r="P2" s="17" t="s">
        <v>405</v>
      </c>
      <c r="Q2" s="17" t="s">
        <v>406</v>
      </c>
      <c r="R2" s="17" t="s">
        <v>407</v>
      </c>
      <c r="S2" s="17" t="s">
        <v>408</v>
      </c>
      <c r="T2" s="17" t="s">
        <v>409</v>
      </c>
      <c r="U2" s="17" t="s">
        <v>402</v>
      </c>
      <c r="V2" s="17" t="s">
        <v>410</v>
      </c>
      <c r="W2" s="17" t="s">
        <v>411</v>
      </c>
    </row>
    <row r="3" spans="1:53" ht="15.6" x14ac:dyDescent="0.3">
      <c r="A3" s="19">
        <f>B3+C3</f>
        <v>19.799999999999997</v>
      </c>
      <c r="B3" s="17">
        <f>C3*$B$1</f>
        <v>3.9599999999999995</v>
      </c>
      <c r="C3" s="17">
        <f>SUM(H3:BL3)</f>
        <v>15.839999999999998</v>
      </c>
      <c r="D3" s="6" t="s">
        <v>1</v>
      </c>
      <c r="E3" s="17">
        <v>5.5</v>
      </c>
      <c r="F3" s="16">
        <v>0.05</v>
      </c>
      <c r="G3" s="17">
        <f>E3*F3</f>
        <v>0.27500000000000002</v>
      </c>
      <c r="H3" s="17">
        <f>E3+G3</f>
        <v>5.7750000000000004</v>
      </c>
      <c r="I3" s="17">
        <f>$E3*I$1</f>
        <v>0.55000000000000004</v>
      </c>
      <c r="J3" s="17">
        <f t="shared" ref="J3:BA14" si="0">$E3*J$1</f>
        <v>0.32999999999999996</v>
      </c>
      <c r="K3" s="17">
        <f t="shared" si="0"/>
        <v>0.495</v>
      </c>
      <c r="L3" s="17">
        <f t="shared" si="0"/>
        <v>0.55000000000000004</v>
      </c>
      <c r="M3" s="17">
        <f t="shared" si="0"/>
        <v>0.82499999999999996</v>
      </c>
      <c r="N3" s="17">
        <f t="shared" si="0"/>
        <v>1.1000000000000001</v>
      </c>
      <c r="O3" s="17">
        <f t="shared" si="0"/>
        <v>1.1000000000000001</v>
      </c>
      <c r="P3" s="17">
        <f t="shared" si="0"/>
        <v>0.495</v>
      </c>
      <c r="Q3" s="17">
        <f t="shared" si="0"/>
        <v>0.495</v>
      </c>
      <c r="R3" s="17">
        <f t="shared" si="0"/>
        <v>0.82499999999999996</v>
      </c>
      <c r="S3" s="17">
        <f t="shared" si="0"/>
        <v>1.1000000000000001</v>
      </c>
      <c r="T3" s="17">
        <f t="shared" si="0"/>
        <v>0.82499999999999996</v>
      </c>
      <c r="U3" s="17">
        <f t="shared" si="0"/>
        <v>0.55000000000000004</v>
      </c>
      <c r="V3" s="17">
        <f t="shared" si="0"/>
        <v>0.27500000000000002</v>
      </c>
      <c r="W3" s="17">
        <f t="shared" si="0"/>
        <v>0.55000000000000004</v>
      </c>
      <c r="X3" s="17">
        <f t="shared" si="0"/>
        <v>0</v>
      </c>
      <c r="Y3" s="17">
        <f t="shared" si="0"/>
        <v>0</v>
      </c>
      <c r="Z3" s="17">
        <f t="shared" si="0"/>
        <v>0</v>
      </c>
      <c r="AA3" s="17">
        <f t="shared" si="0"/>
        <v>0</v>
      </c>
      <c r="AB3" s="17">
        <f t="shared" si="0"/>
        <v>0</v>
      </c>
      <c r="AC3" s="17">
        <f t="shared" si="0"/>
        <v>0</v>
      </c>
      <c r="AD3" s="17">
        <f t="shared" si="0"/>
        <v>0</v>
      </c>
      <c r="AE3" s="17">
        <f t="shared" si="0"/>
        <v>0</v>
      </c>
      <c r="AF3" s="17">
        <f t="shared" si="0"/>
        <v>0</v>
      </c>
      <c r="AG3" s="17">
        <f t="shared" si="0"/>
        <v>0</v>
      </c>
      <c r="AH3" s="17">
        <f t="shared" si="0"/>
        <v>0</v>
      </c>
      <c r="AI3" s="17">
        <f t="shared" si="0"/>
        <v>0</v>
      </c>
      <c r="AJ3" s="17">
        <f t="shared" si="0"/>
        <v>0</v>
      </c>
      <c r="AK3" s="17">
        <f t="shared" si="0"/>
        <v>0</v>
      </c>
      <c r="AL3" s="17">
        <f t="shared" si="0"/>
        <v>0</v>
      </c>
      <c r="AM3" s="17">
        <f t="shared" si="0"/>
        <v>0</v>
      </c>
      <c r="AN3" s="17">
        <f t="shared" si="0"/>
        <v>0</v>
      </c>
      <c r="AO3" s="17">
        <f t="shared" si="0"/>
        <v>0</v>
      </c>
      <c r="AP3" s="17">
        <f t="shared" si="0"/>
        <v>0</v>
      </c>
      <c r="AQ3" s="17">
        <f t="shared" si="0"/>
        <v>0</v>
      </c>
      <c r="AR3" s="17">
        <f t="shared" si="0"/>
        <v>0</v>
      </c>
      <c r="AS3" s="17">
        <f t="shared" si="0"/>
        <v>0</v>
      </c>
      <c r="AT3" s="17">
        <f t="shared" si="0"/>
        <v>0</v>
      </c>
      <c r="AU3" s="17">
        <f t="shared" si="0"/>
        <v>0</v>
      </c>
      <c r="AV3" s="17">
        <f t="shared" si="0"/>
        <v>0</v>
      </c>
      <c r="AW3" s="17">
        <f t="shared" si="0"/>
        <v>0</v>
      </c>
      <c r="AX3" s="17">
        <f t="shared" si="0"/>
        <v>0</v>
      </c>
      <c r="AY3" s="17">
        <f t="shared" si="0"/>
        <v>0</v>
      </c>
      <c r="AZ3" s="17">
        <f t="shared" si="0"/>
        <v>0</v>
      </c>
      <c r="BA3" s="17">
        <f t="shared" si="0"/>
        <v>0</v>
      </c>
    </row>
    <row r="4" spans="1:53" ht="15.6" x14ac:dyDescent="0.3">
      <c r="A4" s="19">
        <f t="shared" ref="A4:A43" si="1">B4+C4</f>
        <v>198</v>
      </c>
      <c r="B4" s="17">
        <f t="shared" ref="B4:B43" si="2">C4*$B$1</f>
        <v>39.6</v>
      </c>
      <c r="C4" s="17">
        <f t="shared" ref="C4:C43" si="3">SUM(H4:BL4)</f>
        <v>158.4</v>
      </c>
      <c r="D4" s="6" t="s">
        <v>2</v>
      </c>
      <c r="E4" s="17">
        <v>55</v>
      </c>
      <c r="F4" s="16">
        <v>0.05</v>
      </c>
      <c r="G4" s="17">
        <f t="shared" ref="G4:G33" si="4">E4*F4</f>
        <v>2.75</v>
      </c>
      <c r="H4" s="17">
        <f t="shared" ref="H4:H33" si="5">E4+G4</f>
        <v>57.75</v>
      </c>
      <c r="I4" s="17">
        <f t="shared" ref="I4:W48" si="6">$E4*I$1</f>
        <v>5.5</v>
      </c>
      <c r="J4" s="17">
        <f t="shared" si="0"/>
        <v>3.3</v>
      </c>
      <c r="K4" s="17">
        <f t="shared" si="0"/>
        <v>4.95</v>
      </c>
      <c r="L4" s="17">
        <f t="shared" si="0"/>
        <v>5.5</v>
      </c>
      <c r="M4" s="17">
        <f t="shared" si="0"/>
        <v>8.25</v>
      </c>
      <c r="N4" s="17">
        <f t="shared" si="0"/>
        <v>11</v>
      </c>
      <c r="O4" s="17">
        <f t="shared" si="0"/>
        <v>11</v>
      </c>
      <c r="P4" s="17">
        <f t="shared" si="0"/>
        <v>4.95</v>
      </c>
      <c r="Q4" s="17">
        <f t="shared" si="0"/>
        <v>4.95</v>
      </c>
      <c r="R4" s="17">
        <f t="shared" si="0"/>
        <v>8.25</v>
      </c>
      <c r="S4" s="17">
        <f t="shared" si="0"/>
        <v>11</v>
      </c>
      <c r="T4" s="17">
        <f t="shared" si="0"/>
        <v>8.25</v>
      </c>
      <c r="U4" s="17">
        <f t="shared" si="0"/>
        <v>5.5</v>
      </c>
      <c r="V4" s="17">
        <f t="shared" si="0"/>
        <v>2.75</v>
      </c>
      <c r="W4" s="17">
        <f t="shared" si="0"/>
        <v>5.5</v>
      </c>
    </row>
    <row r="5" spans="1:53" ht="15.6" x14ac:dyDescent="0.3">
      <c r="A5" s="19">
        <f t="shared" si="1"/>
        <v>594</v>
      </c>
      <c r="B5" s="17">
        <f t="shared" si="2"/>
        <v>118.80000000000001</v>
      </c>
      <c r="C5" s="17">
        <f t="shared" si="3"/>
        <v>475.20000000000005</v>
      </c>
      <c r="D5" s="6" t="s">
        <v>3</v>
      </c>
      <c r="E5" s="17">
        <v>165</v>
      </c>
      <c r="F5" s="16">
        <v>0.05</v>
      </c>
      <c r="G5" s="17">
        <f t="shared" si="4"/>
        <v>8.25</v>
      </c>
      <c r="H5" s="17">
        <f t="shared" si="5"/>
        <v>173.25</v>
      </c>
      <c r="I5" s="17">
        <f t="shared" si="6"/>
        <v>16.5</v>
      </c>
      <c r="J5" s="17">
        <f t="shared" si="0"/>
        <v>9.9</v>
      </c>
      <c r="K5" s="17">
        <f t="shared" si="0"/>
        <v>14.85</v>
      </c>
      <c r="L5" s="17">
        <f t="shared" si="0"/>
        <v>16.5</v>
      </c>
      <c r="M5" s="17">
        <f t="shared" si="0"/>
        <v>24.75</v>
      </c>
      <c r="N5" s="17">
        <f t="shared" si="0"/>
        <v>33</v>
      </c>
      <c r="O5" s="17">
        <f t="shared" si="0"/>
        <v>33</v>
      </c>
      <c r="P5" s="17">
        <f t="shared" si="0"/>
        <v>14.85</v>
      </c>
      <c r="Q5" s="17">
        <f t="shared" si="0"/>
        <v>14.85</v>
      </c>
      <c r="R5" s="17">
        <f t="shared" si="0"/>
        <v>24.75</v>
      </c>
      <c r="S5" s="17">
        <f t="shared" si="0"/>
        <v>33</v>
      </c>
      <c r="T5" s="17">
        <f t="shared" si="0"/>
        <v>24.75</v>
      </c>
      <c r="U5" s="17">
        <f t="shared" si="0"/>
        <v>16.5</v>
      </c>
      <c r="V5" s="17">
        <f t="shared" si="0"/>
        <v>8.25</v>
      </c>
      <c r="W5" s="17">
        <f t="shared" si="0"/>
        <v>16.5</v>
      </c>
    </row>
    <row r="6" spans="1:53" ht="15.6" x14ac:dyDescent="0.3">
      <c r="A6" s="19">
        <f t="shared" si="1"/>
        <v>70.2</v>
      </c>
      <c r="B6" s="17">
        <f t="shared" si="2"/>
        <v>14.040000000000001</v>
      </c>
      <c r="C6" s="17">
        <f t="shared" si="3"/>
        <v>56.160000000000004</v>
      </c>
      <c r="D6" s="6" t="s">
        <v>4</v>
      </c>
      <c r="E6" s="17">
        <v>19.5</v>
      </c>
      <c r="F6" s="16">
        <v>0.05</v>
      </c>
      <c r="G6" s="17">
        <f t="shared" si="4"/>
        <v>0.97500000000000009</v>
      </c>
      <c r="H6" s="17">
        <f t="shared" si="5"/>
        <v>20.475000000000001</v>
      </c>
      <c r="I6" s="17">
        <f t="shared" si="6"/>
        <v>1.9500000000000002</v>
      </c>
      <c r="J6" s="17">
        <f t="shared" si="0"/>
        <v>1.17</v>
      </c>
      <c r="K6" s="17">
        <f t="shared" si="0"/>
        <v>1.7549999999999999</v>
      </c>
      <c r="L6" s="17">
        <f t="shared" si="0"/>
        <v>1.9500000000000002</v>
      </c>
      <c r="M6" s="17">
        <f t="shared" si="0"/>
        <v>2.9249999999999998</v>
      </c>
      <c r="N6" s="17">
        <f t="shared" si="0"/>
        <v>3.9000000000000004</v>
      </c>
      <c r="O6" s="17">
        <f t="shared" si="0"/>
        <v>3.9000000000000004</v>
      </c>
      <c r="P6" s="17">
        <f t="shared" si="0"/>
        <v>1.7549999999999999</v>
      </c>
      <c r="Q6" s="17">
        <f t="shared" si="0"/>
        <v>1.7549999999999999</v>
      </c>
      <c r="R6" s="17">
        <f t="shared" si="0"/>
        <v>2.9249999999999998</v>
      </c>
      <c r="S6" s="17">
        <f t="shared" si="0"/>
        <v>3.9000000000000004</v>
      </c>
      <c r="T6" s="17">
        <f t="shared" si="0"/>
        <v>2.9249999999999998</v>
      </c>
      <c r="U6" s="17">
        <f t="shared" si="0"/>
        <v>1.9500000000000002</v>
      </c>
      <c r="V6" s="17">
        <f t="shared" si="0"/>
        <v>0.97500000000000009</v>
      </c>
      <c r="W6" s="17">
        <f t="shared" si="0"/>
        <v>1.9500000000000002</v>
      </c>
    </row>
    <row r="7" spans="1:53" ht="15.6" x14ac:dyDescent="0.3">
      <c r="A7" s="19">
        <f t="shared" si="1"/>
        <v>351</v>
      </c>
      <c r="B7" s="17">
        <f t="shared" si="2"/>
        <v>70.2</v>
      </c>
      <c r="C7" s="17">
        <f t="shared" si="3"/>
        <v>280.8</v>
      </c>
      <c r="D7" s="6" t="s">
        <v>5</v>
      </c>
      <c r="E7" s="17">
        <v>97.5</v>
      </c>
      <c r="F7" s="16">
        <v>0.05</v>
      </c>
      <c r="G7" s="17">
        <f t="shared" si="4"/>
        <v>4.875</v>
      </c>
      <c r="H7" s="17">
        <f t="shared" si="5"/>
        <v>102.375</v>
      </c>
      <c r="I7" s="17">
        <f t="shared" si="6"/>
        <v>9.75</v>
      </c>
      <c r="J7" s="17">
        <f t="shared" si="0"/>
        <v>5.85</v>
      </c>
      <c r="K7" s="17">
        <f t="shared" si="0"/>
        <v>8.7750000000000004</v>
      </c>
      <c r="L7" s="17">
        <f t="shared" si="0"/>
        <v>9.75</v>
      </c>
      <c r="M7" s="17">
        <f t="shared" si="0"/>
        <v>14.625</v>
      </c>
      <c r="N7" s="17">
        <f t="shared" si="0"/>
        <v>19.5</v>
      </c>
      <c r="O7" s="17">
        <f t="shared" si="0"/>
        <v>19.5</v>
      </c>
      <c r="P7" s="17">
        <f t="shared" si="0"/>
        <v>8.7750000000000004</v>
      </c>
      <c r="Q7" s="17">
        <f t="shared" si="0"/>
        <v>8.7750000000000004</v>
      </c>
      <c r="R7" s="17">
        <f t="shared" si="0"/>
        <v>14.625</v>
      </c>
      <c r="S7" s="17">
        <f t="shared" si="0"/>
        <v>19.5</v>
      </c>
      <c r="T7" s="17">
        <f t="shared" si="0"/>
        <v>14.625</v>
      </c>
      <c r="U7" s="17">
        <f t="shared" si="0"/>
        <v>9.75</v>
      </c>
      <c r="V7" s="17">
        <f t="shared" si="0"/>
        <v>4.875</v>
      </c>
      <c r="W7" s="17">
        <f t="shared" si="0"/>
        <v>9.75</v>
      </c>
    </row>
    <row r="8" spans="1:53" ht="15.6" x14ac:dyDescent="0.3">
      <c r="A8" s="19">
        <f t="shared" si="1"/>
        <v>2106</v>
      </c>
      <c r="B8" s="17">
        <f t="shared" si="2"/>
        <v>421.20000000000005</v>
      </c>
      <c r="C8" s="17">
        <f t="shared" si="3"/>
        <v>1684.8000000000002</v>
      </c>
      <c r="D8" s="6" t="s">
        <v>6</v>
      </c>
      <c r="E8" s="17">
        <v>585</v>
      </c>
      <c r="F8" s="16">
        <v>0.05</v>
      </c>
      <c r="G8" s="17">
        <f t="shared" si="4"/>
        <v>29.25</v>
      </c>
      <c r="H8" s="17">
        <f t="shared" si="5"/>
        <v>614.25</v>
      </c>
      <c r="I8" s="17">
        <f t="shared" si="6"/>
        <v>58.5</v>
      </c>
      <c r="J8" s="17">
        <f t="shared" si="0"/>
        <v>35.1</v>
      </c>
      <c r="K8" s="17">
        <f t="shared" si="0"/>
        <v>52.65</v>
      </c>
      <c r="L8" s="17">
        <f t="shared" si="0"/>
        <v>58.5</v>
      </c>
      <c r="M8" s="17">
        <f t="shared" si="0"/>
        <v>87.75</v>
      </c>
      <c r="N8" s="17">
        <f t="shared" si="0"/>
        <v>117</v>
      </c>
      <c r="O8" s="17">
        <f t="shared" si="0"/>
        <v>117</v>
      </c>
      <c r="P8" s="17">
        <f t="shared" si="0"/>
        <v>52.65</v>
      </c>
      <c r="Q8" s="17">
        <f t="shared" si="0"/>
        <v>52.65</v>
      </c>
      <c r="R8" s="17">
        <f t="shared" si="0"/>
        <v>87.75</v>
      </c>
      <c r="S8" s="17">
        <f t="shared" si="0"/>
        <v>117</v>
      </c>
      <c r="T8" s="17">
        <f t="shared" si="0"/>
        <v>87.75</v>
      </c>
      <c r="U8" s="17">
        <f t="shared" si="0"/>
        <v>58.5</v>
      </c>
      <c r="V8" s="17">
        <f t="shared" si="0"/>
        <v>29.25</v>
      </c>
      <c r="W8" s="17">
        <f t="shared" si="0"/>
        <v>58.5</v>
      </c>
    </row>
    <row r="9" spans="1:53" ht="15.6" x14ac:dyDescent="0.3">
      <c r="A9" s="19">
        <f t="shared" si="1"/>
        <v>17.28</v>
      </c>
      <c r="B9" s="17">
        <f t="shared" si="2"/>
        <v>3.4560000000000004</v>
      </c>
      <c r="C9" s="17">
        <f t="shared" si="3"/>
        <v>13.824000000000002</v>
      </c>
      <c r="D9" s="6" t="s">
        <v>7</v>
      </c>
      <c r="E9" s="17">
        <v>4.8</v>
      </c>
      <c r="F9" s="16">
        <v>0.05</v>
      </c>
      <c r="G9" s="17">
        <f t="shared" si="4"/>
        <v>0.24</v>
      </c>
      <c r="H9" s="17">
        <f t="shared" si="5"/>
        <v>5.04</v>
      </c>
      <c r="I9" s="17">
        <f t="shared" si="6"/>
        <v>0.48</v>
      </c>
      <c r="J9" s="17">
        <f t="shared" si="0"/>
        <v>0.28799999999999998</v>
      </c>
      <c r="K9" s="17">
        <f t="shared" si="0"/>
        <v>0.432</v>
      </c>
      <c r="L9" s="17">
        <f t="shared" si="0"/>
        <v>0.48</v>
      </c>
      <c r="M9" s="17">
        <f t="shared" si="0"/>
        <v>0.72</v>
      </c>
      <c r="N9" s="17">
        <f t="shared" si="0"/>
        <v>0.96</v>
      </c>
      <c r="O9" s="17">
        <f t="shared" si="0"/>
        <v>0.96</v>
      </c>
      <c r="P9" s="17">
        <f t="shared" si="0"/>
        <v>0.432</v>
      </c>
      <c r="Q9" s="17">
        <f t="shared" si="0"/>
        <v>0.432</v>
      </c>
      <c r="R9" s="17">
        <f t="shared" si="0"/>
        <v>0.72</v>
      </c>
      <c r="S9" s="17">
        <f t="shared" si="0"/>
        <v>0.96</v>
      </c>
      <c r="T9" s="17">
        <f t="shared" si="0"/>
        <v>0.72</v>
      </c>
      <c r="U9" s="17">
        <f t="shared" si="0"/>
        <v>0.48</v>
      </c>
      <c r="V9" s="17">
        <f t="shared" si="0"/>
        <v>0.24</v>
      </c>
      <c r="W9" s="17">
        <f t="shared" si="0"/>
        <v>0.48</v>
      </c>
    </row>
    <row r="10" spans="1:53" ht="15.6" x14ac:dyDescent="0.3">
      <c r="A10" s="19">
        <f t="shared" si="1"/>
        <v>51.839999999999989</v>
      </c>
      <c r="B10" s="17">
        <f t="shared" si="2"/>
        <v>10.367999999999999</v>
      </c>
      <c r="C10" s="17">
        <f t="shared" si="3"/>
        <v>41.471999999999994</v>
      </c>
      <c r="D10" s="6" t="s">
        <v>8</v>
      </c>
      <c r="E10" s="17">
        <v>14.4</v>
      </c>
      <c r="F10" s="16">
        <v>0.05</v>
      </c>
      <c r="G10" s="17">
        <f t="shared" si="4"/>
        <v>0.72000000000000008</v>
      </c>
      <c r="H10" s="17">
        <f t="shared" si="5"/>
        <v>15.120000000000001</v>
      </c>
      <c r="I10" s="17">
        <f t="shared" si="6"/>
        <v>1.4400000000000002</v>
      </c>
      <c r="J10" s="17">
        <f t="shared" si="0"/>
        <v>0.86399999999999999</v>
      </c>
      <c r="K10" s="17">
        <f t="shared" si="0"/>
        <v>1.296</v>
      </c>
      <c r="L10" s="17">
        <f t="shared" si="0"/>
        <v>1.4400000000000002</v>
      </c>
      <c r="M10" s="17">
        <f t="shared" si="0"/>
        <v>2.16</v>
      </c>
      <c r="N10" s="17">
        <f t="shared" si="0"/>
        <v>2.8800000000000003</v>
      </c>
      <c r="O10" s="17">
        <f t="shared" si="0"/>
        <v>2.8800000000000003</v>
      </c>
      <c r="P10" s="17">
        <f t="shared" si="0"/>
        <v>1.296</v>
      </c>
      <c r="Q10" s="17">
        <f t="shared" si="0"/>
        <v>1.296</v>
      </c>
      <c r="R10" s="17">
        <f t="shared" si="0"/>
        <v>2.16</v>
      </c>
      <c r="S10" s="17">
        <f t="shared" si="0"/>
        <v>2.8800000000000003</v>
      </c>
      <c r="T10" s="17">
        <f t="shared" si="0"/>
        <v>2.16</v>
      </c>
      <c r="U10" s="17">
        <f t="shared" si="0"/>
        <v>1.4400000000000002</v>
      </c>
      <c r="V10" s="17">
        <f t="shared" si="0"/>
        <v>0.72000000000000008</v>
      </c>
      <c r="W10" s="17">
        <f t="shared" si="0"/>
        <v>1.4400000000000002</v>
      </c>
    </row>
    <row r="11" spans="1:53" ht="15.6" x14ac:dyDescent="0.3">
      <c r="A11" s="19">
        <f t="shared" si="1"/>
        <v>172.8</v>
      </c>
      <c r="B11" s="17">
        <f t="shared" si="2"/>
        <v>34.56</v>
      </c>
      <c r="C11" s="17">
        <f t="shared" si="3"/>
        <v>138.24</v>
      </c>
      <c r="D11" s="6" t="s">
        <v>9</v>
      </c>
      <c r="E11" s="17">
        <v>48</v>
      </c>
      <c r="F11" s="16">
        <v>0.05</v>
      </c>
      <c r="G11" s="17">
        <f t="shared" si="4"/>
        <v>2.4000000000000004</v>
      </c>
      <c r="H11" s="17">
        <f t="shared" si="5"/>
        <v>50.4</v>
      </c>
      <c r="I11" s="17">
        <f t="shared" si="6"/>
        <v>4.8000000000000007</v>
      </c>
      <c r="J11" s="17">
        <f t="shared" si="0"/>
        <v>2.88</v>
      </c>
      <c r="K11" s="17">
        <f t="shared" si="0"/>
        <v>4.32</v>
      </c>
      <c r="L11" s="17">
        <f t="shared" si="0"/>
        <v>4.8000000000000007</v>
      </c>
      <c r="M11" s="17">
        <f t="shared" si="0"/>
        <v>7.1999999999999993</v>
      </c>
      <c r="N11" s="17">
        <f t="shared" si="0"/>
        <v>9.6000000000000014</v>
      </c>
      <c r="O11" s="17">
        <f t="shared" si="0"/>
        <v>9.6000000000000014</v>
      </c>
      <c r="P11" s="17">
        <f t="shared" si="0"/>
        <v>4.32</v>
      </c>
      <c r="Q11" s="17">
        <f t="shared" si="0"/>
        <v>4.32</v>
      </c>
      <c r="R11" s="17">
        <f t="shared" si="0"/>
        <v>7.1999999999999993</v>
      </c>
      <c r="S11" s="17">
        <f t="shared" si="0"/>
        <v>9.6000000000000014</v>
      </c>
      <c r="T11" s="17">
        <f t="shared" si="0"/>
        <v>7.1999999999999993</v>
      </c>
      <c r="U11" s="17">
        <f t="shared" si="0"/>
        <v>4.8000000000000007</v>
      </c>
      <c r="V11" s="17">
        <f t="shared" si="0"/>
        <v>2.4000000000000004</v>
      </c>
      <c r="W11" s="17">
        <f t="shared" si="0"/>
        <v>4.8000000000000007</v>
      </c>
    </row>
    <row r="12" spans="1:53" ht="15.6" x14ac:dyDescent="0.3">
      <c r="A12" s="19">
        <f t="shared" si="1"/>
        <v>518.4</v>
      </c>
      <c r="B12" s="17">
        <f t="shared" si="2"/>
        <v>103.67999999999999</v>
      </c>
      <c r="C12" s="17">
        <f t="shared" si="3"/>
        <v>414.71999999999997</v>
      </c>
      <c r="D12" s="6" t="s">
        <v>10</v>
      </c>
      <c r="E12" s="17">
        <v>144</v>
      </c>
      <c r="F12" s="16">
        <v>0.05</v>
      </c>
      <c r="G12" s="17">
        <f t="shared" si="4"/>
        <v>7.2</v>
      </c>
      <c r="H12" s="17">
        <f t="shared" si="5"/>
        <v>151.19999999999999</v>
      </c>
      <c r="I12" s="17">
        <f t="shared" si="6"/>
        <v>14.4</v>
      </c>
      <c r="J12" s="17">
        <f t="shared" si="0"/>
        <v>8.64</v>
      </c>
      <c r="K12" s="17">
        <f t="shared" si="0"/>
        <v>12.959999999999999</v>
      </c>
      <c r="L12" s="17">
        <f t="shared" si="0"/>
        <v>14.4</v>
      </c>
      <c r="M12" s="17">
        <f t="shared" si="0"/>
        <v>21.599999999999998</v>
      </c>
      <c r="N12" s="17">
        <f t="shared" si="0"/>
        <v>28.8</v>
      </c>
      <c r="O12" s="17">
        <f t="shared" si="0"/>
        <v>28.8</v>
      </c>
      <c r="P12" s="17">
        <f t="shared" si="0"/>
        <v>12.959999999999999</v>
      </c>
      <c r="Q12" s="17">
        <f t="shared" si="0"/>
        <v>12.959999999999999</v>
      </c>
      <c r="R12" s="17">
        <f t="shared" si="0"/>
        <v>21.599999999999998</v>
      </c>
      <c r="S12" s="17">
        <f t="shared" si="0"/>
        <v>28.8</v>
      </c>
      <c r="T12" s="17">
        <f t="shared" si="0"/>
        <v>21.599999999999998</v>
      </c>
      <c r="U12" s="17">
        <f t="shared" si="0"/>
        <v>14.4</v>
      </c>
      <c r="V12" s="17">
        <f t="shared" si="0"/>
        <v>7.2</v>
      </c>
      <c r="W12" s="17">
        <f t="shared" si="0"/>
        <v>14.4</v>
      </c>
    </row>
    <row r="13" spans="1:53" ht="15.6" x14ac:dyDescent="0.3">
      <c r="A13" s="19">
        <f t="shared" si="1"/>
        <v>75.600000000000009</v>
      </c>
      <c r="B13" s="17">
        <f t="shared" si="2"/>
        <v>15.120000000000003</v>
      </c>
      <c r="C13" s="17">
        <f t="shared" si="3"/>
        <v>60.480000000000011</v>
      </c>
      <c r="D13" s="6" t="s">
        <v>11</v>
      </c>
      <c r="E13" s="17">
        <v>21</v>
      </c>
      <c r="F13" s="16">
        <v>0.05</v>
      </c>
      <c r="G13" s="17">
        <f t="shared" si="4"/>
        <v>1.05</v>
      </c>
      <c r="H13" s="17">
        <f t="shared" si="5"/>
        <v>22.05</v>
      </c>
      <c r="I13" s="17">
        <f t="shared" si="6"/>
        <v>2.1</v>
      </c>
      <c r="J13" s="17">
        <f t="shared" si="0"/>
        <v>1.26</v>
      </c>
      <c r="K13" s="17">
        <f t="shared" si="0"/>
        <v>1.89</v>
      </c>
      <c r="L13" s="17">
        <f t="shared" si="0"/>
        <v>2.1</v>
      </c>
      <c r="M13" s="17">
        <f t="shared" si="0"/>
        <v>3.15</v>
      </c>
      <c r="N13" s="17">
        <f t="shared" si="0"/>
        <v>4.2</v>
      </c>
      <c r="O13" s="17">
        <f t="shared" si="0"/>
        <v>4.2</v>
      </c>
      <c r="P13" s="17">
        <f t="shared" si="0"/>
        <v>1.89</v>
      </c>
      <c r="Q13" s="17">
        <f t="shared" si="0"/>
        <v>1.89</v>
      </c>
      <c r="R13" s="17">
        <f t="shared" si="0"/>
        <v>3.15</v>
      </c>
      <c r="S13" s="17">
        <f t="shared" si="0"/>
        <v>4.2</v>
      </c>
      <c r="T13" s="17">
        <f t="shared" si="0"/>
        <v>3.15</v>
      </c>
      <c r="U13" s="17">
        <f t="shared" si="0"/>
        <v>2.1</v>
      </c>
      <c r="V13" s="17">
        <f t="shared" si="0"/>
        <v>1.05</v>
      </c>
      <c r="W13" s="17">
        <f t="shared" si="0"/>
        <v>2.1</v>
      </c>
    </row>
    <row r="14" spans="1:53" ht="15.6" x14ac:dyDescent="0.3">
      <c r="A14" s="19">
        <f t="shared" si="1"/>
        <v>2268</v>
      </c>
      <c r="B14" s="17">
        <f t="shared" si="2"/>
        <v>453.6</v>
      </c>
      <c r="C14" s="17">
        <f t="shared" si="3"/>
        <v>1814.4</v>
      </c>
      <c r="D14" s="6" t="s">
        <v>12</v>
      </c>
      <c r="E14" s="17">
        <v>630</v>
      </c>
      <c r="F14" s="16">
        <v>0.05</v>
      </c>
      <c r="G14" s="17">
        <f t="shared" si="4"/>
        <v>31.5</v>
      </c>
      <c r="H14" s="17">
        <f t="shared" si="5"/>
        <v>661.5</v>
      </c>
      <c r="I14" s="17">
        <f t="shared" si="6"/>
        <v>63</v>
      </c>
      <c r="J14" s="17">
        <f t="shared" si="0"/>
        <v>37.799999999999997</v>
      </c>
      <c r="K14" s="17">
        <f t="shared" ref="J14:W32" si="7">$E14*K$1</f>
        <v>56.699999999999996</v>
      </c>
      <c r="L14" s="17">
        <f t="shared" si="7"/>
        <v>63</v>
      </c>
      <c r="M14" s="17">
        <f t="shared" si="7"/>
        <v>94.5</v>
      </c>
      <c r="N14" s="17">
        <f t="shared" si="7"/>
        <v>126</v>
      </c>
      <c r="O14" s="17">
        <f t="shared" si="7"/>
        <v>126</v>
      </c>
      <c r="P14" s="17">
        <f t="shared" si="7"/>
        <v>56.699999999999996</v>
      </c>
      <c r="Q14" s="17">
        <f t="shared" si="7"/>
        <v>56.699999999999996</v>
      </c>
      <c r="R14" s="17">
        <f t="shared" si="7"/>
        <v>94.5</v>
      </c>
      <c r="S14" s="17">
        <f t="shared" si="7"/>
        <v>126</v>
      </c>
      <c r="T14" s="17">
        <f t="shared" si="7"/>
        <v>94.5</v>
      </c>
      <c r="U14" s="17">
        <f t="shared" si="7"/>
        <v>63</v>
      </c>
      <c r="V14" s="17">
        <f t="shared" si="7"/>
        <v>31.5</v>
      </c>
      <c r="W14" s="17">
        <f t="shared" si="7"/>
        <v>63</v>
      </c>
    </row>
    <row r="15" spans="1:53" ht="15.6" x14ac:dyDescent="0.3">
      <c r="A15" s="19">
        <f t="shared" si="1"/>
        <v>226.79999999999995</v>
      </c>
      <c r="B15" s="17">
        <f t="shared" si="2"/>
        <v>45.359999999999992</v>
      </c>
      <c r="C15" s="17">
        <f t="shared" si="3"/>
        <v>181.43999999999997</v>
      </c>
      <c r="D15" s="6" t="s">
        <v>13</v>
      </c>
      <c r="E15" s="17">
        <v>63</v>
      </c>
      <c r="F15" s="16">
        <v>0.05</v>
      </c>
      <c r="G15" s="17">
        <f t="shared" si="4"/>
        <v>3.1500000000000004</v>
      </c>
      <c r="H15" s="17">
        <f t="shared" si="5"/>
        <v>66.150000000000006</v>
      </c>
      <c r="I15" s="17">
        <f t="shared" si="6"/>
        <v>6.3000000000000007</v>
      </c>
      <c r="J15" s="17">
        <f t="shared" si="7"/>
        <v>3.78</v>
      </c>
      <c r="K15" s="17">
        <f t="shared" si="7"/>
        <v>5.67</v>
      </c>
      <c r="L15" s="17">
        <f t="shared" si="7"/>
        <v>6.3000000000000007</v>
      </c>
      <c r="M15" s="17">
        <f t="shared" si="7"/>
        <v>9.4499999999999993</v>
      </c>
      <c r="N15" s="17">
        <f t="shared" si="7"/>
        <v>12.600000000000001</v>
      </c>
      <c r="O15" s="17">
        <f t="shared" si="7"/>
        <v>12.600000000000001</v>
      </c>
      <c r="P15" s="17">
        <f t="shared" si="7"/>
        <v>5.67</v>
      </c>
      <c r="Q15" s="17">
        <f t="shared" si="7"/>
        <v>5.67</v>
      </c>
      <c r="R15" s="17">
        <f t="shared" si="7"/>
        <v>9.4499999999999993</v>
      </c>
      <c r="S15" s="17">
        <f t="shared" si="7"/>
        <v>12.600000000000001</v>
      </c>
      <c r="T15" s="17">
        <f t="shared" si="7"/>
        <v>9.4499999999999993</v>
      </c>
      <c r="U15" s="17">
        <f t="shared" si="7"/>
        <v>6.3000000000000007</v>
      </c>
      <c r="V15" s="17">
        <f t="shared" si="7"/>
        <v>3.1500000000000004</v>
      </c>
      <c r="W15" s="17">
        <f t="shared" si="7"/>
        <v>6.3000000000000007</v>
      </c>
    </row>
    <row r="16" spans="1:53" ht="15.6" x14ac:dyDescent="0.3">
      <c r="A16" s="19">
        <f t="shared" si="1"/>
        <v>28.799999999999997</v>
      </c>
      <c r="B16" s="17">
        <f t="shared" si="2"/>
        <v>5.76</v>
      </c>
      <c r="C16" s="17">
        <f t="shared" si="3"/>
        <v>23.04</v>
      </c>
      <c r="D16" s="6" t="s">
        <v>14</v>
      </c>
      <c r="E16" s="17">
        <v>8</v>
      </c>
      <c r="F16" s="16">
        <v>0.05</v>
      </c>
      <c r="G16" s="17">
        <f t="shared" si="4"/>
        <v>0.4</v>
      </c>
      <c r="H16" s="17">
        <f t="shared" si="5"/>
        <v>8.4</v>
      </c>
      <c r="I16" s="17">
        <f t="shared" si="6"/>
        <v>0.8</v>
      </c>
      <c r="J16" s="17">
        <f t="shared" si="7"/>
        <v>0.48</v>
      </c>
      <c r="K16" s="17">
        <f t="shared" si="7"/>
        <v>0.72</v>
      </c>
      <c r="L16" s="17">
        <f t="shared" si="7"/>
        <v>0.8</v>
      </c>
      <c r="M16" s="17">
        <f t="shared" si="7"/>
        <v>1.2</v>
      </c>
      <c r="N16" s="17">
        <f t="shared" si="7"/>
        <v>1.6</v>
      </c>
      <c r="O16" s="17">
        <f t="shared" si="7"/>
        <v>1.6</v>
      </c>
      <c r="P16" s="17">
        <f t="shared" si="7"/>
        <v>0.72</v>
      </c>
      <c r="Q16" s="17">
        <f t="shared" si="7"/>
        <v>0.72</v>
      </c>
      <c r="R16" s="17">
        <f t="shared" si="7"/>
        <v>1.2</v>
      </c>
      <c r="S16" s="17">
        <f t="shared" si="7"/>
        <v>1.6</v>
      </c>
      <c r="T16" s="17">
        <f t="shared" si="7"/>
        <v>1.2</v>
      </c>
      <c r="U16" s="17">
        <f t="shared" si="7"/>
        <v>0.8</v>
      </c>
      <c r="V16" s="17">
        <f t="shared" si="7"/>
        <v>0.4</v>
      </c>
      <c r="W16" s="17">
        <f t="shared" si="7"/>
        <v>0.8</v>
      </c>
    </row>
    <row r="17" spans="1:23" ht="15.6" x14ac:dyDescent="0.3">
      <c r="A17" s="19">
        <f t="shared" si="1"/>
        <v>288</v>
      </c>
      <c r="B17" s="17">
        <f t="shared" si="2"/>
        <v>57.599999999999994</v>
      </c>
      <c r="C17" s="17">
        <f t="shared" si="3"/>
        <v>230.39999999999998</v>
      </c>
      <c r="D17" s="6" t="s">
        <v>15</v>
      </c>
      <c r="E17" s="17">
        <v>80</v>
      </c>
      <c r="F17" s="16">
        <v>0.05</v>
      </c>
      <c r="G17" s="17">
        <f t="shared" si="4"/>
        <v>4</v>
      </c>
      <c r="H17" s="17">
        <f t="shared" si="5"/>
        <v>84</v>
      </c>
      <c r="I17" s="17">
        <f t="shared" si="6"/>
        <v>8</v>
      </c>
      <c r="J17" s="17">
        <f t="shared" si="7"/>
        <v>4.8</v>
      </c>
      <c r="K17" s="17">
        <f t="shared" si="7"/>
        <v>7.1999999999999993</v>
      </c>
      <c r="L17" s="17">
        <f t="shared" si="7"/>
        <v>8</v>
      </c>
      <c r="M17" s="17">
        <f t="shared" si="7"/>
        <v>12</v>
      </c>
      <c r="N17" s="17">
        <f t="shared" si="7"/>
        <v>16</v>
      </c>
      <c r="O17" s="17">
        <f t="shared" si="7"/>
        <v>16</v>
      </c>
      <c r="P17" s="17">
        <f t="shared" si="7"/>
        <v>7.1999999999999993</v>
      </c>
      <c r="Q17" s="17">
        <f t="shared" si="7"/>
        <v>7.1999999999999993</v>
      </c>
      <c r="R17" s="17">
        <f t="shared" si="7"/>
        <v>12</v>
      </c>
      <c r="S17" s="17">
        <f t="shared" si="7"/>
        <v>16</v>
      </c>
      <c r="T17" s="17">
        <f t="shared" si="7"/>
        <v>12</v>
      </c>
      <c r="U17" s="17">
        <f t="shared" si="7"/>
        <v>8</v>
      </c>
      <c r="V17" s="17">
        <f t="shared" si="7"/>
        <v>4</v>
      </c>
      <c r="W17" s="17">
        <f t="shared" si="7"/>
        <v>8</v>
      </c>
    </row>
    <row r="18" spans="1:23" ht="15.6" x14ac:dyDescent="0.3">
      <c r="A18" s="19">
        <f t="shared" si="1"/>
        <v>216</v>
      </c>
      <c r="B18" s="17">
        <f t="shared" si="2"/>
        <v>43.2</v>
      </c>
      <c r="C18" s="17">
        <f t="shared" si="3"/>
        <v>172.8</v>
      </c>
      <c r="D18" s="6" t="s">
        <v>16</v>
      </c>
      <c r="E18" s="17">
        <v>60</v>
      </c>
      <c r="F18" s="16">
        <v>0.05</v>
      </c>
      <c r="G18" s="17">
        <f t="shared" si="4"/>
        <v>3</v>
      </c>
      <c r="H18" s="17">
        <f t="shared" si="5"/>
        <v>63</v>
      </c>
      <c r="I18" s="17">
        <f t="shared" si="6"/>
        <v>6</v>
      </c>
      <c r="J18" s="17">
        <f t="shared" si="7"/>
        <v>3.5999999999999996</v>
      </c>
      <c r="K18" s="17">
        <f t="shared" si="7"/>
        <v>5.3999999999999995</v>
      </c>
      <c r="L18" s="17">
        <f t="shared" si="7"/>
        <v>6</v>
      </c>
      <c r="M18" s="17">
        <f t="shared" si="7"/>
        <v>9</v>
      </c>
      <c r="N18" s="17">
        <f t="shared" si="7"/>
        <v>12</v>
      </c>
      <c r="O18" s="17">
        <f t="shared" si="7"/>
        <v>12</v>
      </c>
      <c r="P18" s="17">
        <f t="shared" si="7"/>
        <v>5.3999999999999995</v>
      </c>
      <c r="Q18" s="17">
        <f t="shared" si="7"/>
        <v>5.3999999999999995</v>
      </c>
      <c r="R18" s="17">
        <f t="shared" si="7"/>
        <v>9</v>
      </c>
      <c r="S18" s="17">
        <f t="shared" si="7"/>
        <v>12</v>
      </c>
      <c r="T18" s="17">
        <f t="shared" si="7"/>
        <v>9</v>
      </c>
      <c r="U18" s="17">
        <f t="shared" si="7"/>
        <v>6</v>
      </c>
      <c r="V18" s="17">
        <f t="shared" si="7"/>
        <v>3</v>
      </c>
      <c r="W18" s="17">
        <f t="shared" si="7"/>
        <v>6</v>
      </c>
    </row>
    <row r="19" spans="1:23" ht="15.6" x14ac:dyDescent="0.3">
      <c r="A19" s="19">
        <f t="shared" si="1"/>
        <v>540</v>
      </c>
      <c r="B19" s="17">
        <f t="shared" si="2"/>
        <v>108</v>
      </c>
      <c r="C19" s="17">
        <f t="shared" si="3"/>
        <v>432</v>
      </c>
      <c r="D19" s="6" t="s">
        <v>17</v>
      </c>
      <c r="E19" s="17">
        <v>150</v>
      </c>
      <c r="F19" s="16">
        <v>0.05</v>
      </c>
      <c r="G19" s="17">
        <f t="shared" si="4"/>
        <v>7.5</v>
      </c>
      <c r="H19" s="17">
        <f t="shared" si="5"/>
        <v>157.5</v>
      </c>
      <c r="I19" s="17">
        <f t="shared" si="6"/>
        <v>15</v>
      </c>
      <c r="J19" s="17">
        <f t="shared" si="7"/>
        <v>9</v>
      </c>
      <c r="K19" s="17">
        <f t="shared" si="7"/>
        <v>13.5</v>
      </c>
      <c r="L19" s="17">
        <f t="shared" si="7"/>
        <v>15</v>
      </c>
      <c r="M19" s="17">
        <f t="shared" si="7"/>
        <v>22.5</v>
      </c>
      <c r="N19" s="17">
        <f t="shared" si="7"/>
        <v>30</v>
      </c>
      <c r="O19" s="17">
        <f t="shared" si="7"/>
        <v>30</v>
      </c>
      <c r="P19" s="17">
        <f t="shared" si="7"/>
        <v>13.5</v>
      </c>
      <c r="Q19" s="17">
        <f t="shared" si="7"/>
        <v>13.5</v>
      </c>
      <c r="R19" s="17">
        <f t="shared" si="7"/>
        <v>22.5</v>
      </c>
      <c r="S19" s="17">
        <f t="shared" si="7"/>
        <v>30</v>
      </c>
      <c r="T19" s="17">
        <f t="shared" si="7"/>
        <v>22.5</v>
      </c>
      <c r="U19" s="17">
        <f t="shared" si="7"/>
        <v>15</v>
      </c>
      <c r="V19" s="17">
        <f t="shared" si="7"/>
        <v>7.5</v>
      </c>
      <c r="W19" s="17">
        <f t="shared" si="7"/>
        <v>15</v>
      </c>
    </row>
    <row r="20" spans="1:23" ht="15.6" x14ac:dyDescent="0.3">
      <c r="A20" s="19">
        <f t="shared" si="1"/>
        <v>23.4</v>
      </c>
      <c r="B20" s="17">
        <f t="shared" si="2"/>
        <v>4.68</v>
      </c>
      <c r="C20" s="17">
        <f t="shared" si="3"/>
        <v>18.72</v>
      </c>
      <c r="D20" s="6" t="s">
        <v>18</v>
      </c>
      <c r="E20" s="17">
        <v>6.5</v>
      </c>
      <c r="F20" s="16">
        <v>0.05</v>
      </c>
      <c r="G20" s="17">
        <f t="shared" si="4"/>
        <v>0.32500000000000001</v>
      </c>
      <c r="H20" s="17">
        <f t="shared" si="5"/>
        <v>6.8250000000000002</v>
      </c>
      <c r="I20" s="17">
        <f t="shared" si="6"/>
        <v>0.65</v>
      </c>
      <c r="J20" s="17">
        <f t="shared" si="7"/>
        <v>0.39</v>
      </c>
      <c r="K20" s="17">
        <f t="shared" si="7"/>
        <v>0.58499999999999996</v>
      </c>
      <c r="L20" s="17">
        <f t="shared" si="7"/>
        <v>0.65</v>
      </c>
      <c r="M20" s="17">
        <f t="shared" si="7"/>
        <v>0.97499999999999998</v>
      </c>
      <c r="N20" s="17">
        <f t="shared" si="7"/>
        <v>1.3</v>
      </c>
      <c r="O20" s="17">
        <f t="shared" si="7"/>
        <v>1.3</v>
      </c>
      <c r="P20" s="17">
        <f t="shared" si="7"/>
        <v>0.58499999999999996</v>
      </c>
      <c r="Q20" s="17">
        <f t="shared" si="7"/>
        <v>0.58499999999999996</v>
      </c>
      <c r="R20" s="17">
        <f t="shared" si="7"/>
        <v>0.97499999999999998</v>
      </c>
      <c r="S20" s="17">
        <f t="shared" si="7"/>
        <v>1.3</v>
      </c>
      <c r="T20" s="17">
        <f t="shared" si="7"/>
        <v>0.97499999999999998</v>
      </c>
      <c r="U20" s="17">
        <f t="shared" si="7"/>
        <v>0.65</v>
      </c>
      <c r="V20" s="17">
        <f t="shared" si="7"/>
        <v>0.32500000000000001</v>
      </c>
      <c r="W20" s="17">
        <f t="shared" si="7"/>
        <v>0.65</v>
      </c>
    </row>
    <row r="21" spans="1:23" ht="15.6" x14ac:dyDescent="0.3">
      <c r="A21" s="19">
        <f t="shared" si="1"/>
        <v>70.2</v>
      </c>
      <c r="B21" s="17">
        <f t="shared" si="2"/>
        <v>14.040000000000001</v>
      </c>
      <c r="C21" s="17">
        <f t="shared" si="3"/>
        <v>56.160000000000004</v>
      </c>
      <c r="D21" s="6" t="s">
        <v>19</v>
      </c>
      <c r="E21" s="17">
        <v>19.5</v>
      </c>
      <c r="F21" s="16">
        <v>0.05</v>
      </c>
      <c r="G21" s="17">
        <f t="shared" si="4"/>
        <v>0.97500000000000009</v>
      </c>
      <c r="H21" s="17">
        <f t="shared" si="5"/>
        <v>20.475000000000001</v>
      </c>
      <c r="I21" s="17">
        <f t="shared" si="6"/>
        <v>1.9500000000000002</v>
      </c>
      <c r="J21" s="17">
        <f t="shared" si="7"/>
        <v>1.17</v>
      </c>
      <c r="K21" s="17">
        <f t="shared" si="7"/>
        <v>1.7549999999999999</v>
      </c>
      <c r="L21" s="17">
        <f t="shared" si="7"/>
        <v>1.9500000000000002</v>
      </c>
      <c r="M21" s="17">
        <f t="shared" si="7"/>
        <v>2.9249999999999998</v>
      </c>
      <c r="N21" s="17">
        <f t="shared" si="7"/>
        <v>3.9000000000000004</v>
      </c>
      <c r="O21" s="17">
        <f t="shared" si="7"/>
        <v>3.9000000000000004</v>
      </c>
      <c r="P21" s="17">
        <f t="shared" si="7"/>
        <v>1.7549999999999999</v>
      </c>
      <c r="Q21" s="17">
        <f t="shared" si="7"/>
        <v>1.7549999999999999</v>
      </c>
      <c r="R21" s="17">
        <f t="shared" si="7"/>
        <v>2.9249999999999998</v>
      </c>
      <c r="S21" s="17">
        <f t="shared" si="7"/>
        <v>3.9000000000000004</v>
      </c>
      <c r="T21" s="17">
        <f t="shared" si="7"/>
        <v>2.9249999999999998</v>
      </c>
      <c r="U21" s="17">
        <f t="shared" si="7"/>
        <v>1.9500000000000002</v>
      </c>
      <c r="V21" s="17">
        <f t="shared" si="7"/>
        <v>0.97500000000000009</v>
      </c>
      <c r="W21" s="17">
        <f t="shared" si="7"/>
        <v>1.9500000000000002</v>
      </c>
    </row>
    <row r="22" spans="1:23" ht="15.6" x14ac:dyDescent="0.3">
      <c r="A22" s="19">
        <f t="shared" si="1"/>
        <v>702</v>
      </c>
      <c r="B22" s="17">
        <f t="shared" si="2"/>
        <v>140.4</v>
      </c>
      <c r="C22" s="17">
        <f t="shared" si="3"/>
        <v>561.6</v>
      </c>
      <c r="D22" s="6" t="s">
        <v>20</v>
      </c>
      <c r="E22" s="17">
        <v>195</v>
      </c>
      <c r="F22" s="16">
        <v>0.05</v>
      </c>
      <c r="G22" s="17">
        <f t="shared" si="4"/>
        <v>9.75</v>
      </c>
      <c r="H22" s="17">
        <f t="shared" si="5"/>
        <v>204.75</v>
      </c>
      <c r="I22" s="17">
        <f t="shared" si="6"/>
        <v>19.5</v>
      </c>
      <c r="J22" s="17">
        <f t="shared" si="7"/>
        <v>11.7</v>
      </c>
      <c r="K22" s="17">
        <f t="shared" si="7"/>
        <v>17.55</v>
      </c>
      <c r="L22" s="17">
        <f t="shared" si="7"/>
        <v>19.5</v>
      </c>
      <c r="M22" s="17">
        <f t="shared" si="7"/>
        <v>29.25</v>
      </c>
      <c r="N22" s="17">
        <f t="shared" si="7"/>
        <v>39</v>
      </c>
      <c r="O22" s="17">
        <f t="shared" si="7"/>
        <v>39</v>
      </c>
      <c r="P22" s="17">
        <f t="shared" si="7"/>
        <v>17.55</v>
      </c>
      <c r="Q22" s="17">
        <f t="shared" si="7"/>
        <v>17.55</v>
      </c>
      <c r="R22" s="17">
        <f t="shared" si="7"/>
        <v>29.25</v>
      </c>
      <c r="S22" s="17">
        <f t="shared" si="7"/>
        <v>39</v>
      </c>
      <c r="T22" s="17">
        <f t="shared" si="7"/>
        <v>29.25</v>
      </c>
      <c r="U22" s="17">
        <f t="shared" si="7"/>
        <v>19.5</v>
      </c>
      <c r="V22" s="17">
        <f t="shared" si="7"/>
        <v>9.75</v>
      </c>
      <c r="W22" s="17">
        <f t="shared" si="7"/>
        <v>19.5</v>
      </c>
    </row>
    <row r="23" spans="1:23" ht="15.6" x14ac:dyDescent="0.3">
      <c r="A23" s="19">
        <f t="shared" si="1"/>
        <v>62.639999999999993</v>
      </c>
      <c r="B23" s="17">
        <f t="shared" si="2"/>
        <v>12.527999999999999</v>
      </c>
      <c r="C23" s="17">
        <f t="shared" si="3"/>
        <v>50.111999999999995</v>
      </c>
      <c r="D23" s="6" t="s">
        <v>21</v>
      </c>
      <c r="E23" s="17">
        <v>17.399999999999999</v>
      </c>
      <c r="F23" s="16">
        <v>0.05</v>
      </c>
      <c r="G23" s="17">
        <f t="shared" si="4"/>
        <v>0.87</v>
      </c>
      <c r="H23" s="17">
        <f t="shared" si="5"/>
        <v>18.27</v>
      </c>
      <c r="I23" s="17">
        <f t="shared" si="6"/>
        <v>1.74</v>
      </c>
      <c r="J23" s="17">
        <f t="shared" si="7"/>
        <v>1.0439999999999998</v>
      </c>
      <c r="K23" s="17">
        <f t="shared" si="7"/>
        <v>1.5659999999999998</v>
      </c>
      <c r="L23" s="17">
        <f t="shared" si="7"/>
        <v>1.74</v>
      </c>
      <c r="M23" s="17">
        <f t="shared" si="7"/>
        <v>2.61</v>
      </c>
      <c r="N23" s="17">
        <f t="shared" si="7"/>
        <v>3.48</v>
      </c>
      <c r="O23" s="17">
        <f t="shared" si="7"/>
        <v>3.48</v>
      </c>
      <c r="P23" s="17">
        <f t="shared" si="7"/>
        <v>1.5659999999999998</v>
      </c>
      <c r="Q23" s="17">
        <f t="shared" si="7"/>
        <v>1.5659999999999998</v>
      </c>
      <c r="R23" s="17">
        <f t="shared" si="7"/>
        <v>2.61</v>
      </c>
      <c r="S23" s="17">
        <f t="shared" si="7"/>
        <v>3.48</v>
      </c>
      <c r="T23" s="17">
        <f t="shared" si="7"/>
        <v>2.61</v>
      </c>
      <c r="U23" s="17">
        <f t="shared" si="7"/>
        <v>1.74</v>
      </c>
      <c r="V23" s="17">
        <f t="shared" si="7"/>
        <v>0.87</v>
      </c>
      <c r="W23" s="17">
        <f t="shared" si="7"/>
        <v>1.74</v>
      </c>
    </row>
    <row r="24" spans="1:23" ht="15.6" x14ac:dyDescent="0.3">
      <c r="A24" s="19">
        <f t="shared" si="1"/>
        <v>626.40000000000009</v>
      </c>
      <c r="B24" s="17">
        <f t="shared" si="2"/>
        <v>125.28000000000002</v>
      </c>
      <c r="C24" s="17">
        <f t="shared" si="3"/>
        <v>501.12000000000006</v>
      </c>
      <c r="D24" s="6" t="s">
        <v>22</v>
      </c>
      <c r="E24" s="17">
        <v>174</v>
      </c>
      <c r="F24" s="16">
        <v>0.05</v>
      </c>
      <c r="G24" s="17">
        <f t="shared" si="4"/>
        <v>8.7000000000000011</v>
      </c>
      <c r="H24" s="17">
        <f t="shared" si="5"/>
        <v>182.7</v>
      </c>
      <c r="I24" s="17">
        <f t="shared" si="6"/>
        <v>17.400000000000002</v>
      </c>
      <c r="J24" s="17">
        <f t="shared" si="7"/>
        <v>10.44</v>
      </c>
      <c r="K24" s="17">
        <f t="shared" si="7"/>
        <v>15.66</v>
      </c>
      <c r="L24" s="17">
        <f t="shared" si="7"/>
        <v>17.400000000000002</v>
      </c>
      <c r="M24" s="17">
        <f t="shared" si="7"/>
        <v>26.099999999999998</v>
      </c>
      <c r="N24" s="17">
        <f t="shared" si="7"/>
        <v>34.800000000000004</v>
      </c>
      <c r="O24" s="17">
        <f t="shared" si="7"/>
        <v>34.800000000000004</v>
      </c>
      <c r="P24" s="17">
        <f t="shared" si="7"/>
        <v>15.66</v>
      </c>
      <c r="Q24" s="17">
        <f t="shared" si="7"/>
        <v>15.66</v>
      </c>
      <c r="R24" s="17">
        <f t="shared" si="7"/>
        <v>26.099999999999998</v>
      </c>
      <c r="S24" s="17">
        <f t="shared" si="7"/>
        <v>34.800000000000004</v>
      </c>
      <c r="T24" s="17">
        <f t="shared" si="7"/>
        <v>26.099999999999998</v>
      </c>
      <c r="U24" s="17">
        <f t="shared" si="7"/>
        <v>17.400000000000002</v>
      </c>
      <c r="V24" s="17">
        <f t="shared" si="7"/>
        <v>8.7000000000000011</v>
      </c>
      <c r="W24" s="17">
        <f t="shared" si="7"/>
        <v>17.400000000000002</v>
      </c>
    </row>
    <row r="25" spans="1:23" ht="15.6" x14ac:dyDescent="0.3">
      <c r="A25" s="19">
        <f t="shared" si="1"/>
        <v>57.599999999999994</v>
      </c>
      <c r="B25" s="17">
        <f t="shared" si="2"/>
        <v>11.52</v>
      </c>
      <c r="C25" s="17">
        <f t="shared" si="3"/>
        <v>46.08</v>
      </c>
      <c r="D25" s="6" t="s">
        <v>23</v>
      </c>
      <c r="E25" s="17">
        <v>16</v>
      </c>
      <c r="F25" s="16">
        <v>0.05</v>
      </c>
      <c r="G25" s="17">
        <f t="shared" si="4"/>
        <v>0.8</v>
      </c>
      <c r="H25" s="17">
        <f t="shared" si="5"/>
        <v>16.8</v>
      </c>
      <c r="I25" s="17">
        <f t="shared" si="6"/>
        <v>1.6</v>
      </c>
      <c r="J25" s="17">
        <f t="shared" si="7"/>
        <v>0.96</v>
      </c>
      <c r="K25" s="17">
        <f t="shared" si="7"/>
        <v>1.44</v>
      </c>
      <c r="L25" s="17">
        <f t="shared" si="7"/>
        <v>1.6</v>
      </c>
      <c r="M25" s="17">
        <f t="shared" si="7"/>
        <v>2.4</v>
      </c>
      <c r="N25" s="17">
        <f t="shared" si="7"/>
        <v>3.2</v>
      </c>
      <c r="O25" s="17">
        <f t="shared" si="7"/>
        <v>3.2</v>
      </c>
      <c r="P25" s="17">
        <f t="shared" si="7"/>
        <v>1.44</v>
      </c>
      <c r="Q25" s="17">
        <f t="shared" si="7"/>
        <v>1.44</v>
      </c>
      <c r="R25" s="17">
        <f t="shared" si="7"/>
        <v>2.4</v>
      </c>
      <c r="S25" s="17">
        <f t="shared" si="7"/>
        <v>3.2</v>
      </c>
      <c r="T25" s="17">
        <f t="shared" si="7"/>
        <v>2.4</v>
      </c>
      <c r="U25" s="17">
        <f t="shared" si="7"/>
        <v>1.6</v>
      </c>
      <c r="V25" s="17">
        <f t="shared" si="7"/>
        <v>0.8</v>
      </c>
      <c r="W25" s="17">
        <f t="shared" si="7"/>
        <v>1.6</v>
      </c>
    </row>
    <row r="26" spans="1:23" ht="15.6" x14ac:dyDescent="0.3">
      <c r="A26" s="19">
        <f t="shared" si="1"/>
        <v>288</v>
      </c>
      <c r="B26" s="17">
        <f t="shared" si="2"/>
        <v>57.599999999999994</v>
      </c>
      <c r="C26" s="17">
        <f t="shared" si="3"/>
        <v>230.39999999999998</v>
      </c>
      <c r="D26" s="6" t="s">
        <v>24</v>
      </c>
      <c r="E26" s="17">
        <v>80</v>
      </c>
      <c r="F26" s="16">
        <v>0.05</v>
      </c>
      <c r="G26" s="17">
        <f t="shared" si="4"/>
        <v>4</v>
      </c>
      <c r="H26" s="17">
        <f t="shared" si="5"/>
        <v>84</v>
      </c>
      <c r="I26" s="17">
        <f t="shared" si="6"/>
        <v>8</v>
      </c>
      <c r="J26" s="17">
        <f t="shared" si="7"/>
        <v>4.8</v>
      </c>
      <c r="K26" s="17">
        <f t="shared" si="7"/>
        <v>7.1999999999999993</v>
      </c>
      <c r="L26" s="17">
        <f t="shared" si="7"/>
        <v>8</v>
      </c>
      <c r="M26" s="17">
        <f t="shared" si="7"/>
        <v>12</v>
      </c>
      <c r="N26" s="17">
        <f t="shared" si="7"/>
        <v>16</v>
      </c>
      <c r="O26" s="17">
        <f t="shared" si="7"/>
        <v>16</v>
      </c>
      <c r="P26" s="17">
        <f t="shared" si="7"/>
        <v>7.1999999999999993</v>
      </c>
      <c r="Q26" s="17">
        <f t="shared" si="7"/>
        <v>7.1999999999999993</v>
      </c>
      <c r="R26" s="17">
        <f t="shared" si="7"/>
        <v>12</v>
      </c>
      <c r="S26" s="17">
        <f t="shared" si="7"/>
        <v>16</v>
      </c>
      <c r="T26" s="17">
        <f t="shared" si="7"/>
        <v>12</v>
      </c>
      <c r="U26" s="17">
        <f t="shared" si="7"/>
        <v>8</v>
      </c>
      <c r="V26" s="17">
        <f t="shared" si="7"/>
        <v>4</v>
      </c>
      <c r="W26" s="17">
        <f t="shared" si="7"/>
        <v>8</v>
      </c>
    </row>
    <row r="27" spans="1:23" ht="15.6" x14ac:dyDescent="0.3">
      <c r="A27" s="19">
        <f t="shared" si="1"/>
        <v>1728</v>
      </c>
      <c r="B27" s="17">
        <f t="shared" si="2"/>
        <v>345.6</v>
      </c>
      <c r="C27" s="17">
        <f t="shared" si="3"/>
        <v>1382.4</v>
      </c>
      <c r="D27" s="6" t="s">
        <v>25</v>
      </c>
      <c r="E27" s="17">
        <v>480</v>
      </c>
      <c r="F27" s="16">
        <v>0.05</v>
      </c>
      <c r="G27" s="17">
        <f t="shared" si="4"/>
        <v>24</v>
      </c>
      <c r="H27" s="17">
        <f t="shared" si="5"/>
        <v>504</v>
      </c>
      <c r="I27" s="17">
        <f t="shared" si="6"/>
        <v>48</v>
      </c>
      <c r="J27" s="17">
        <f t="shared" si="7"/>
        <v>28.799999999999997</v>
      </c>
      <c r="K27" s="17">
        <f t="shared" si="7"/>
        <v>43.199999999999996</v>
      </c>
      <c r="L27" s="17">
        <f t="shared" si="7"/>
        <v>48</v>
      </c>
      <c r="M27" s="17">
        <f t="shared" si="7"/>
        <v>72</v>
      </c>
      <c r="N27" s="17">
        <f t="shared" si="7"/>
        <v>96</v>
      </c>
      <c r="O27" s="17">
        <f t="shared" si="7"/>
        <v>96</v>
      </c>
      <c r="P27" s="17">
        <f t="shared" si="7"/>
        <v>43.199999999999996</v>
      </c>
      <c r="Q27" s="17">
        <f t="shared" si="7"/>
        <v>43.199999999999996</v>
      </c>
      <c r="R27" s="17">
        <f t="shared" si="7"/>
        <v>72</v>
      </c>
      <c r="S27" s="17">
        <f t="shared" si="7"/>
        <v>96</v>
      </c>
      <c r="T27" s="17">
        <f t="shared" si="7"/>
        <v>72</v>
      </c>
      <c r="U27" s="17">
        <f t="shared" si="7"/>
        <v>48</v>
      </c>
      <c r="V27" s="17">
        <f t="shared" si="7"/>
        <v>24</v>
      </c>
      <c r="W27" s="17">
        <f t="shared" si="7"/>
        <v>48</v>
      </c>
    </row>
    <row r="28" spans="1:23" ht="15.6" x14ac:dyDescent="0.3">
      <c r="A28" s="19">
        <f t="shared" si="1"/>
        <v>360</v>
      </c>
      <c r="B28" s="17">
        <f t="shared" si="2"/>
        <v>72</v>
      </c>
      <c r="C28" s="17">
        <f t="shared" si="3"/>
        <v>288</v>
      </c>
      <c r="D28" s="6" t="s">
        <v>26</v>
      </c>
      <c r="E28" s="17">
        <v>100</v>
      </c>
      <c r="F28" s="16">
        <v>0.05</v>
      </c>
      <c r="G28" s="17">
        <f t="shared" si="4"/>
        <v>5</v>
      </c>
      <c r="H28" s="17">
        <f t="shared" si="5"/>
        <v>105</v>
      </c>
      <c r="I28" s="17">
        <f t="shared" si="6"/>
        <v>10</v>
      </c>
      <c r="J28" s="17">
        <f t="shared" si="7"/>
        <v>6</v>
      </c>
      <c r="K28" s="17">
        <f t="shared" si="7"/>
        <v>9</v>
      </c>
      <c r="L28" s="17">
        <f t="shared" si="7"/>
        <v>10</v>
      </c>
      <c r="M28" s="17">
        <f t="shared" si="7"/>
        <v>15</v>
      </c>
      <c r="N28" s="17">
        <f t="shared" si="7"/>
        <v>20</v>
      </c>
      <c r="O28" s="17">
        <f t="shared" si="7"/>
        <v>20</v>
      </c>
      <c r="P28" s="17">
        <f t="shared" si="7"/>
        <v>9</v>
      </c>
      <c r="Q28" s="17">
        <f t="shared" si="7"/>
        <v>9</v>
      </c>
      <c r="R28" s="17">
        <f t="shared" si="7"/>
        <v>15</v>
      </c>
      <c r="S28" s="17">
        <f t="shared" si="7"/>
        <v>20</v>
      </c>
      <c r="T28" s="17">
        <f t="shared" si="7"/>
        <v>15</v>
      </c>
      <c r="U28" s="17">
        <f t="shared" si="7"/>
        <v>10</v>
      </c>
      <c r="V28" s="17">
        <f t="shared" si="7"/>
        <v>5</v>
      </c>
      <c r="W28" s="17">
        <f t="shared" si="7"/>
        <v>10</v>
      </c>
    </row>
    <row r="29" spans="1:23" ht="15.6" x14ac:dyDescent="0.3">
      <c r="A29" s="19">
        <f t="shared" si="1"/>
        <v>360</v>
      </c>
      <c r="B29" s="17">
        <f t="shared" si="2"/>
        <v>72</v>
      </c>
      <c r="C29" s="17">
        <f t="shared" si="3"/>
        <v>288</v>
      </c>
      <c r="D29" s="6" t="s">
        <v>27</v>
      </c>
      <c r="E29" s="17">
        <v>100</v>
      </c>
      <c r="F29" s="16">
        <v>0.05</v>
      </c>
      <c r="G29" s="17">
        <f t="shared" si="4"/>
        <v>5</v>
      </c>
      <c r="H29" s="17">
        <f t="shared" si="5"/>
        <v>105</v>
      </c>
      <c r="I29" s="17">
        <f t="shared" si="6"/>
        <v>10</v>
      </c>
      <c r="J29" s="17">
        <f t="shared" si="7"/>
        <v>6</v>
      </c>
      <c r="K29" s="17">
        <f t="shared" si="7"/>
        <v>9</v>
      </c>
      <c r="L29" s="17">
        <f t="shared" si="7"/>
        <v>10</v>
      </c>
      <c r="M29" s="17">
        <f t="shared" si="7"/>
        <v>15</v>
      </c>
      <c r="N29" s="17">
        <f t="shared" si="7"/>
        <v>20</v>
      </c>
      <c r="O29" s="17">
        <f t="shared" si="7"/>
        <v>20</v>
      </c>
      <c r="P29" s="17">
        <f t="shared" si="7"/>
        <v>9</v>
      </c>
      <c r="Q29" s="17">
        <f t="shared" si="7"/>
        <v>9</v>
      </c>
      <c r="R29" s="17">
        <f t="shared" si="7"/>
        <v>15</v>
      </c>
      <c r="S29" s="17">
        <f t="shared" si="7"/>
        <v>20</v>
      </c>
      <c r="T29" s="17">
        <f t="shared" si="7"/>
        <v>15</v>
      </c>
      <c r="U29" s="17">
        <f t="shared" si="7"/>
        <v>10</v>
      </c>
      <c r="V29" s="17">
        <f t="shared" si="7"/>
        <v>5</v>
      </c>
      <c r="W29" s="17">
        <f t="shared" si="7"/>
        <v>10</v>
      </c>
    </row>
    <row r="30" spans="1:23" ht="15.6" x14ac:dyDescent="0.3">
      <c r="A30" s="19">
        <f t="shared" si="1"/>
        <v>198</v>
      </c>
      <c r="B30" s="17">
        <f t="shared" si="2"/>
        <v>39.6</v>
      </c>
      <c r="C30" s="17">
        <f t="shared" si="3"/>
        <v>158.4</v>
      </c>
      <c r="D30" s="6" t="s">
        <v>28</v>
      </c>
      <c r="E30" s="17">
        <v>55</v>
      </c>
      <c r="F30" s="16">
        <v>0.05</v>
      </c>
      <c r="G30" s="17">
        <f t="shared" si="4"/>
        <v>2.75</v>
      </c>
      <c r="H30" s="17">
        <f t="shared" si="5"/>
        <v>57.75</v>
      </c>
      <c r="I30" s="17">
        <f t="shared" si="6"/>
        <v>5.5</v>
      </c>
      <c r="J30" s="17">
        <f t="shared" si="7"/>
        <v>3.3</v>
      </c>
      <c r="K30" s="17">
        <f t="shared" si="7"/>
        <v>4.95</v>
      </c>
      <c r="L30" s="17">
        <f t="shared" si="7"/>
        <v>5.5</v>
      </c>
      <c r="M30" s="17">
        <f t="shared" si="7"/>
        <v>8.25</v>
      </c>
      <c r="N30" s="17">
        <f t="shared" si="7"/>
        <v>11</v>
      </c>
      <c r="O30" s="17">
        <f t="shared" si="7"/>
        <v>11</v>
      </c>
      <c r="P30" s="17">
        <f t="shared" si="7"/>
        <v>4.95</v>
      </c>
      <c r="Q30" s="17">
        <f t="shared" si="7"/>
        <v>4.95</v>
      </c>
      <c r="R30" s="17">
        <f t="shared" si="7"/>
        <v>8.25</v>
      </c>
      <c r="S30" s="17">
        <f t="shared" si="7"/>
        <v>11</v>
      </c>
      <c r="T30" s="17">
        <f t="shared" si="7"/>
        <v>8.25</v>
      </c>
      <c r="U30" s="17">
        <f t="shared" si="7"/>
        <v>5.5</v>
      </c>
      <c r="V30" s="17">
        <f t="shared" si="7"/>
        <v>2.75</v>
      </c>
      <c r="W30" s="17">
        <f t="shared" si="7"/>
        <v>5.5</v>
      </c>
    </row>
    <row r="31" spans="1:23" ht="15.6" x14ac:dyDescent="0.3">
      <c r="A31" s="19">
        <f t="shared" si="1"/>
        <v>432</v>
      </c>
      <c r="B31" s="17">
        <f t="shared" si="2"/>
        <v>86.4</v>
      </c>
      <c r="C31" s="17">
        <f t="shared" si="3"/>
        <v>345.6</v>
      </c>
      <c r="D31" s="6" t="s">
        <v>29</v>
      </c>
      <c r="E31" s="17">
        <v>120</v>
      </c>
      <c r="F31" s="16">
        <v>0.05</v>
      </c>
      <c r="G31" s="17">
        <f t="shared" si="4"/>
        <v>6</v>
      </c>
      <c r="H31" s="17">
        <f t="shared" si="5"/>
        <v>126</v>
      </c>
      <c r="I31" s="17">
        <f t="shared" si="6"/>
        <v>12</v>
      </c>
      <c r="J31" s="17">
        <f t="shared" si="7"/>
        <v>7.1999999999999993</v>
      </c>
      <c r="K31" s="17">
        <f t="shared" si="7"/>
        <v>10.799999999999999</v>
      </c>
      <c r="L31" s="17">
        <f t="shared" si="7"/>
        <v>12</v>
      </c>
      <c r="M31" s="17">
        <f t="shared" si="7"/>
        <v>18</v>
      </c>
      <c r="N31" s="17">
        <f t="shared" si="7"/>
        <v>24</v>
      </c>
      <c r="O31" s="17">
        <f t="shared" si="7"/>
        <v>24</v>
      </c>
      <c r="P31" s="17">
        <f t="shared" si="7"/>
        <v>10.799999999999999</v>
      </c>
      <c r="Q31" s="17">
        <f t="shared" si="7"/>
        <v>10.799999999999999</v>
      </c>
      <c r="R31" s="17">
        <f t="shared" si="7"/>
        <v>18</v>
      </c>
      <c r="S31" s="17">
        <f t="shared" si="7"/>
        <v>24</v>
      </c>
      <c r="T31" s="17">
        <f t="shared" si="7"/>
        <v>18</v>
      </c>
      <c r="U31" s="17">
        <f t="shared" si="7"/>
        <v>12</v>
      </c>
      <c r="V31" s="17">
        <f t="shared" si="7"/>
        <v>6</v>
      </c>
      <c r="W31" s="17">
        <f t="shared" si="7"/>
        <v>12</v>
      </c>
    </row>
    <row r="32" spans="1:23" ht="15.6" x14ac:dyDescent="0.3">
      <c r="A32" s="19">
        <f t="shared" si="1"/>
        <v>288</v>
      </c>
      <c r="B32" s="17">
        <f t="shared" si="2"/>
        <v>57.599999999999994</v>
      </c>
      <c r="C32" s="17">
        <f t="shared" si="3"/>
        <v>230.39999999999998</v>
      </c>
      <c r="D32" s="6" t="s">
        <v>30</v>
      </c>
      <c r="E32" s="17">
        <v>80</v>
      </c>
      <c r="F32" s="16">
        <v>0.05</v>
      </c>
      <c r="G32" s="17">
        <f t="shared" si="4"/>
        <v>4</v>
      </c>
      <c r="H32" s="17">
        <f t="shared" si="5"/>
        <v>84</v>
      </c>
      <c r="I32" s="17">
        <f t="shared" si="6"/>
        <v>8</v>
      </c>
      <c r="J32" s="17">
        <f t="shared" si="7"/>
        <v>4.8</v>
      </c>
      <c r="K32" s="17">
        <f t="shared" si="7"/>
        <v>7.1999999999999993</v>
      </c>
      <c r="L32" s="17">
        <f t="shared" si="7"/>
        <v>8</v>
      </c>
      <c r="M32" s="17">
        <f t="shared" si="7"/>
        <v>12</v>
      </c>
      <c r="N32" s="17">
        <f t="shared" ref="J32:W47" si="8">$E32*N$1</f>
        <v>16</v>
      </c>
      <c r="O32" s="17">
        <f t="shared" si="8"/>
        <v>16</v>
      </c>
      <c r="P32" s="17">
        <f t="shared" si="8"/>
        <v>7.1999999999999993</v>
      </c>
      <c r="Q32" s="17">
        <f t="shared" si="8"/>
        <v>7.1999999999999993</v>
      </c>
      <c r="R32" s="17">
        <f t="shared" si="8"/>
        <v>12</v>
      </c>
      <c r="S32" s="17">
        <f t="shared" si="8"/>
        <v>16</v>
      </c>
      <c r="T32" s="17">
        <f t="shared" si="8"/>
        <v>12</v>
      </c>
      <c r="U32" s="17">
        <f t="shared" si="8"/>
        <v>8</v>
      </c>
      <c r="V32" s="17">
        <f t="shared" si="8"/>
        <v>4</v>
      </c>
      <c r="W32" s="17">
        <f t="shared" si="8"/>
        <v>8</v>
      </c>
    </row>
    <row r="33" spans="1:23" ht="15.6" x14ac:dyDescent="0.3">
      <c r="A33" s="19">
        <f t="shared" si="1"/>
        <v>1260</v>
      </c>
      <c r="B33" s="17">
        <f t="shared" si="2"/>
        <v>252</v>
      </c>
      <c r="C33" s="17">
        <f t="shared" si="3"/>
        <v>1008</v>
      </c>
      <c r="D33" s="6" t="s">
        <v>31</v>
      </c>
      <c r="E33" s="17">
        <v>350</v>
      </c>
      <c r="F33" s="16">
        <v>0.05</v>
      </c>
      <c r="G33" s="17">
        <f t="shared" si="4"/>
        <v>17.5</v>
      </c>
      <c r="H33" s="17">
        <f t="shared" si="5"/>
        <v>367.5</v>
      </c>
      <c r="I33" s="17">
        <f t="shared" si="6"/>
        <v>35</v>
      </c>
      <c r="J33" s="17">
        <f t="shared" si="8"/>
        <v>21</v>
      </c>
      <c r="K33" s="17">
        <f t="shared" si="8"/>
        <v>31.5</v>
      </c>
      <c r="L33" s="17">
        <f t="shared" si="8"/>
        <v>35</v>
      </c>
      <c r="M33" s="17">
        <f t="shared" si="8"/>
        <v>52.5</v>
      </c>
      <c r="N33" s="17">
        <f t="shared" si="8"/>
        <v>70</v>
      </c>
      <c r="O33" s="17">
        <f t="shared" si="8"/>
        <v>70</v>
      </c>
      <c r="P33" s="17">
        <f t="shared" si="8"/>
        <v>31.5</v>
      </c>
      <c r="Q33" s="17">
        <f t="shared" si="8"/>
        <v>31.5</v>
      </c>
      <c r="R33" s="17">
        <f t="shared" si="8"/>
        <v>52.5</v>
      </c>
      <c r="S33" s="17">
        <f t="shared" si="8"/>
        <v>70</v>
      </c>
      <c r="T33" s="17">
        <f t="shared" si="8"/>
        <v>52.5</v>
      </c>
      <c r="U33" s="17">
        <f t="shared" si="8"/>
        <v>35</v>
      </c>
      <c r="V33" s="17">
        <f t="shared" si="8"/>
        <v>17.5</v>
      </c>
      <c r="W33" s="17">
        <f t="shared" si="8"/>
        <v>35</v>
      </c>
    </row>
    <row r="34" spans="1:23" ht="15.6" x14ac:dyDescent="0.3">
      <c r="A34" s="19">
        <f t="shared" si="1"/>
        <v>306</v>
      </c>
      <c r="B34" s="17">
        <f t="shared" si="2"/>
        <v>61.2</v>
      </c>
      <c r="C34" s="17">
        <f t="shared" si="3"/>
        <v>244.8</v>
      </c>
      <c r="D34" s="6" t="s">
        <v>32</v>
      </c>
      <c r="E34" s="17">
        <v>85</v>
      </c>
      <c r="F34" s="16">
        <v>0.05</v>
      </c>
      <c r="G34" s="17">
        <f t="shared" ref="G34:G61" si="9">E34*F34</f>
        <v>4.25</v>
      </c>
      <c r="H34" s="17">
        <f t="shared" ref="H34:H61" si="10">E34+G34</f>
        <v>89.25</v>
      </c>
      <c r="I34" s="17">
        <f t="shared" si="6"/>
        <v>8.5</v>
      </c>
      <c r="J34" s="17">
        <f t="shared" si="8"/>
        <v>5.0999999999999996</v>
      </c>
      <c r="K34" s="17">
        <f t="shared" si="8"/>
        <v>7.6499999999999995</v>
      </c>
      <c r="L34" s="17">
        <f t="shared" si="8"/>
        <v>8.5</v>
      </c>
      <c r="M34" s="17">
        <f t="shared" si="8"/>
        <v>12.75</v>
      </c>
      <c r="N34" s="17">
        <f t="shared" si="8"/>
        <v>17</v>
      </c>
      <c r="O34" s="17">
        <f t="shared" si="8"/>
        <v>17</v>
      </c>
      <c r="P34" s="17">
        <f t="shared" si="8"/>
        <v>7.6499999999999995</v>
      </c>
      <c r="Q34" s="17">
        <f t="shared" si="8"/>
        <v>7.6499999999999995</v>
      </c>
      <c r="R34" s="17">
        <f t="shared" si="8"/>
        <v>12.75</v>
      </c>
      <c r="S34" s="17">
        <f t="shared" si="8"/>
        <v>17</v>
      </c>
      <c r="T34" s="17">
        <f t="shared" si="8"/>
        <v>12.75</v>
      </c>
      <c r="U34" s="17">
        <f t="shared" si="8"/>
        <v>8.5</v>
      </c>
      <c r="V34" s="17">
        <f t="shared" si="8"/>
        <v>4.25</v>
      </c>
      <c r="W34" s="17">
        <f t="shared" si="8"/>
        <v>8.5</v>
      </c>
    </row>
    <row r="35" spans="1:23" ht="15.6" x14ac:dyDescent="0.3">
      <c r="A35" s="19">
        <f t="shared" si="1"/>
        <v>187.2</v>
      </c>
      <c r="B35" s="17">
        <f t="shared" si="2"/>
        <v>37.44</v>
      </c>
      <c r="C35" s="17">
        <f t="shared" si="3"/>
        <v>149.76</v>
      </c>
      <c r="D35" s="6" t="s">
        <v>33</v>
      </c>
      <c r="E35" s="17">
        <v>52</v>
      </c>
      <c r="F35" s="16">
        <v>0.05</v>
      </c>
      <c r="G35" s="17">
        <f t="shared" si="9"/>
        <v>2.6</v>
      </c>
      <c r="H35" s="17">
        <f t="shared" si="10"/>
        <v>54.6</v>
      </c>
      <c r="I35" s="17">
        <f t="shared" si="6"/>
        <v>5.2</v>
      </c>
      <c r="J35" s="17">
        <f t="shared" si="8"/>
        <v>3.12</v>
      </c>
      <c r="K35" s="17">
        <f t="shared" si="8"/>
        <v>4.68</v>
      </c>
      <c r="L35" s="17">
        <f t="shared" si="8"/>
        <v>5.2</v>
      </c>
      <c r="M35" s="17">
        <f t="shared" si="8"/>
        <v>7.8</v>
      </c>
      <c r="N35" s="17">
        <f t="shared" si="8"/>
        <v>10.4</v>
      </c>
      <c r="O35" s="17">
        <f t="shared" si="8"/>
        <v>10.4</v>
      </c>
      <c r="P35" s="17">
        <f t="shared" si="8"/>
        <v>4.68</v>
      </c>
      <c r="Q35" s="17">
        <f t="shared" si="8"/>
        <v>4.68</v>
      </c>
      <c r="R35" s="17">
        <f t="shared" si="8"/>
        <v>7.8</v>
      </c>
      <c r="S35" s="17">
        <f t="shared" si="8"/>
        <v>10.4</v>
      </c>
      <c r="T35" s="17">
        <f t="shared" si="8"/>
        <v>7.8</v>
      </c>
      <c r="U35" s="17">
        <f t="shared" si="8"/>
        <v>5.2</v>
      </c>
      <c r="V35" s="17">
        <f t="shared" si="8"/>
        <v>2.6</v>
      </c>
      <c r="W35" s="17">
        <f t="shared" si="8"/>
        <v>5.2</v>
      </c>
    </row>
    <row r="36" spans="1:23" ht="15.6" x14ac:dyDescent="0.3">
      <c r="A36" s="19">
        <f t="shared" si="1"/>
        <v>5616</v>
      </c>
      <c r="B36" s="17">
        <f t="shared" si="2"/>
        <v>1123.2</v>
      </c>
      <c r="C36" s="17">
        <f t="shared" si="3"/>
        <v>4492.8</v>
      </c>
      <c r="D36" s="6" t="s">
        <v>34</v>
      </c>
      <c r="E36" s="17">
        <v>1560</v>
      </c>
      <c r="F36" s="16">
        <v>0.05</v>
      </c>
      <c r="G36" s="17">
        <f t="shared" si="9"/>
        <v>78</v>
      </c>
      <c r="H36" s="17">
        <f t="shared" si="10"/>
        <v>1638</v>
      </c>
      <c r="I36" s="17">
        <f t="shared" si="6"/>
        <v>156</v>
      </c>
      <c r="J36" s="17">
        <f t="shared" si="8"/>
        <v>93.6</v>
      </c>
      <c r="K36" s="17">
        <f t="shared" si="8"/>
        <v>140.4</v>
      </c>
      <c r="L36" s="17">
        <f t="shared" si="8"/>
        <v>156</v>
      </c>
      <c r="M36" s="17">
        <f t="shared" si="8"/>
        <v>234</v>
      </c>
      <c r="N36" s="17">
        <f t="shared" si="8"/>
        <v>312</v>
      </c>
      <c r="O36" s="17">
        <f t="shared" si="8"/>
        <v>312</v>
      </c>
      <c r="P36" s="17">
        <f t="shared" si="8"/>
        <v>140.4</v>
      </c>
      <c r="Q36" s="17">
        <f t="shared" si="8"/>
        <v>140.4</v>
      </c>
      <c r="R36" s="17">
        <f t="shared" si="8"/>
        <v>234</v>
      </c>
      <c r="S36" s="17">
        <f t="shared" si="8"/>
        <v>312</v>
      </c>
      <c r="T36" s="17">
        <f t="shared" si="8"/>
        <v>234</v>
      </c>
      <c r="U36" s="17">
        <f t="shared" si="8"/>
        <v>156</v>
      </c>
      <c r="V36" s="17">
        <f t="shared" si="8"/>
        <v>78</v>
      </c>
      <c r="W36" s="17">
        <f t="shared" si="8"/>
        <v>156</v>
      </c>
    </row>
    <row r="37" spans="1:23" ht="15.6" x14ac:dyDescent="0.3">
      <c r="A37" s="19">
        <f t="shared" si="1"/>
        <v>10.260000000000002</v>
      </c>
      <c r="B37" s="17">
        <f t="shared" si="2"/>
        <v>2.0520000000000005</v>
      </c>
      <c r="C37" s="17">
        <f t="shared" si="3"/>
        <v>8.208000000000002</v>
      </c>
      <c r="D37" s="6" t="s">
        <v>35</v>
      </c>
      <c r="E37" s="17">
        <v>2.85</v>
      </c>
      <c r="F37" s="16">
        <v>0.05</v>
      </c>
      <c r="G37" s="17">
        <f t="shared" si="9"/>
        <v>0.14250000000000002</v>
      </c>
      <c r="H37" s="17">
        <f t="shared" si="10"/>
        <v>2.9925000000000002</v>
      </c>
      <c r="I37" s="17">
        <f t="shared" si="6"/>
        <v>0.28500000000000003</v>
      </c>
      <c r="J37" s="17">
        <f t="shared" si="8"/>
        <v>0.17099999999999999</v>
      </c>
      <c r="K37" s="17">
        <f t="shared" si="8"/>
        <v>0.25650000000000001</v>
      </c>
      <c r="L37" s="17">
        <f t="shared" si="8"/>
        <v>0.28500000000000003</v>
      </c>
      <c r="M37" s="17">
        <f t="shared" si="8"/>
        <v>0.42749999999999999</v>
      </c>
      <c r="N37" s="17">
        <f t="shared" si="8"/>
        <v>0.57000000000000006</v>
      </c>
      <c r="O37" s="17">
        <f t="shared" si="8"/>
        <v>0.57000000000000006</v>
      </c>
      <c r="P37" s="17">
        <f t="shared" si="8"/>
        <v>0.25650000000000001</v>
      </c>
      <c r="Q37" s="17">
        <f t="shared" si="8"/>
        <v>0.25650000000000001</v>
      </c>
      <c r="R37" s="17">
        <f t="shared" si="8"/>
        <v>0.42749999999999999</v>
      </c>
      <c r="S37" s="17">
        <f t="shared" si="8"/>
        <v>0.57000000000000006</v>
      </c>
      <c r="T37" s="17">
        <f t="shared" si="8"/>
        <v>0.42749999999999999</v>
      </c>
      <c r="U37" s="17">
        <f t="shared" si="8"/>
        <v>0.28500000000000003</v>
      </c>
      <c r="V37" s="17">
        <f t="shared" si="8"/>
        <v>0.14250000000000002</v>
      </c>
      <c r="W37" s="17">
        <f t="shared" si="8"/>
        <v>0.28500000000000003</v>
      </c>
    </row>
    <row r="38" spans="1:23" ht="15.6" x14ac:dyDescent="0.3">
      <c r="A38" s="19">
        <f t="shared" si="1"/>
        <v>51.3</v>
      </c>
      <c r="B38" s="17">
        <f t="shared" si="2"/>
        <v>10.26</v>
      </c>
      <c r="C38" s="17">
        <f t="shared" si="3"/>
        <v>41.04</v>
      </c>
      <c r="D38" s="6" t="s">
        <v>36</v>
      </c>
      <c r="E38" s="17">
        <v>14.25</v>
      </c>
      <c r="F38" s="16">
        <v>0.05</v>
      </c>
      <c r="G38" s="17">
        <f t="shared" si="9"/>
        <v>0.71250000000000002</v>
      </c>
      <c r="H38" s="17">
        <f t="shared" si="10"/>
        <v>14.9625</v>
      </c>
      <c r="I38" s="17">
        <f t="shared" si="6"/>
        <v>1.425</v>
      </c>
      <c r="J38" s="17">
        <f t="shared" si="8"/>
        <v>0.85499999999999998</v>
      </c>
      <c r="K38" s="17">
        <f t="shared" si="8"/>
        <v>1.2825</v>
      </c>
      <c r="L38" s="17">
        <f t="shared" si="8"/>
        <v>1.425</v>
      </c>
      <c r="M38" s="17">
        <f t="shared" si="8"/>
        <v>2.1374999999999997</v>
      </c>
      <c r="N38" s="17">
        <f t="shared" si="8"/>
        <v>2.85</v>
      </c>
      <c r="O38" s="17">
        <f t="shared" si="8"/>
        <v>2.85</v>
      </c>
      <c r="P38" s="17">
        <f t="shared" si="8"/>
        <v>1.2825</v>
      </c>
      <c r="Q38" s="17">
        <f t="shared" si="8"/>
        <v>1.2825</v>
      </c>
      <c r="R38" s="17">
        <f t="shared" si="8"/>
        <v>2.1374999999999997</v>
      </c>
      <c r="S38" s="17">
        <f t="shared" si="8"/>
        <v>2.85</v>
      </c>
      <c r="T38" s="17">
        <f t="shared" si="8"/>
        <v>2.1374999999999997</v>
      </c>
      <c r="U38" s="17">
        <f t="shared" si="8"/>
        <v>1.425</v>
      </c>
      <c r="V38" s="17">
        <f t="shared" si="8"/>
        <v>0.71250000000000002</v>
      </c>
      <c r="W38" s="17">
        <f t="shared" si="8"/>
        <v>1.425</v>
      </c>
    </row>
    <row r="39" spans="1:23" ht="15.6" x14ac:dyDescent="0.3">
      <c r="A39" s="19">
        <f t="shared" si="1"/>
        <v>513</v>
      </c>
      <c r="B39" s="17">
        <f t="shared" si="2"/>
        <v>102.6</v>
      </c>
      <c r="C39" s="17">
        <f t="shared" si="3"/>
        <v>410.4</v>
      </c>
      <c r="D39" s="6" t="s">
        <v>37</v>
      </c>
      <c r="E39" s="17">
        <v>142.5</v>
      </c>
      <c r="F39" s="16">
        <v>0.05</v>
      </c>
      <c r="G39" s="17">
        <f t="shared" si="9"/>
        <v>7.125</v>
      </c>
      <c r="H39" s="17">
        <f t="shared" si="10"/>
        <v>149.625</v>
      </c>
      <c r="I39" s="17">
        <f t="shared" si="6"/>
        <v>14.25</v>
      </c>
      <c r="J39" s="17">
        <f t="shared" si="8"/>
        <v>8.5499999999999989</v>
      </c>
      <c r="K39" s="17">
        <f t="shared" si="8"/>
        <v>12.824999999999999</v>
      </c>
      <c r="L39" s="17">
        <f t="shared" si="8"/>
        <v>14.25</v>
      </c>
      <c r="M39" s="17">
        <f t="shared" si="8"/>
        <v>21.375</v>
      </c>
      <c r="N39" s="17">
        <f t="shared" si="8"/>
        <v>28.5</v>
      </c>
      <c r="O39" s="17">
        <f t="shared" si="8"/>
        <v>28.5</v>
      </c>
      <c r="P39" s="17">
        <f t="shared" si="8"/>
        <v>12.824999999999999</v>
      </c>
      <c r="Q39" s="17">
        <f t="shared" si="8"/>
        <v>12.824999999999999</v>
      </c>
      <c r="R39" s="17">
        <f t="shared" si="8"/>
        <v>21.375</v>
      </c>
      <c r="S39" s="17">
        <f t="shared" si="8"/>
        <v>28.5</v>
      </c>
      <c r="T39" s="17">
        <f t="shared" si="8"/>
        <v>21.375</v>
      </c>
      <c r="U39" s="17">
        <f t="shared" si="8"/>
        <v>14.25</v>
      </c>
      <c r="V39" s="17">
        <f t="shared" si="8"/>
        <v>7.125</v>
      </c>
      <c r="W39" s="17">
        <f t="shared" si="8"/>
        <v>14.25</v>
      </c>
    </row>
    <row r="40" spans="1:23" ht="15.6" x14ac:dyDescent="0.3">
      <c r="A40" s="19">
        <f t="shared" si="1"/>
        <v>594</v>
      </c>
      <c r="B40" s="17">
        <f t="shared" si="2"/>
        <v>118.80000000000001</v>
      </c>
      <c r="C40" s="17">
        <f t="shared" si="3"/>
        <v>475.20000000000005</v>
      </c>
      <c r="D40" s="6" t="s">
        <v>38</v>
      </c>
      <c r="E40" s="17">
        <v>165</v>
      </c>
      <c r="F40" s="16">
        <v>0.05</v>
      </c>
      <c r="G40" s="17">
        <f t="shared" si="9"/>
        <v>8.25</v>
      </c>
      <c r="H40" s="17">
        <f t="shared" si="10"/>
        <v>173.25</v>
      </c>
      <c r="I40" s="17">
        <f t="shared" si="6"/>
        <v>16.5</v>
      </c>
      <c r="J40" s="17">
        <f t="shared" si="8"/>
        <v>9.9</v>
      </c>
      <c r="K40" s="17">
        <f t="shared" si="8"/>
        <v>14.85</v>
      </c>
      <c r="L40" s="17">
        <f t="shared" si="8"/>
        <v>16.5</v>
      </c>
      <c r="M40" s="17">
        <f t="shared" si="8"/>
        <v>24.75</v>
      </c>
      <c r="N40" s="17">
        <f t="shared" si="8"/>
        <v>33</v>
      </c>
      <c r="O40" s="17">
        <f t="shared" si="8"/>
        <v>33</v>
      </c>
      <c r="P40" s="17">
        <f t="shared" si="8"/>
        <v>14.85</v>
      </c>
      <c r="Q40" s="17">
        <f t="shared" si="8"/>
        <v>14.85</v>
      </c>
      <c r="R40" s="17">
        <f t="shared" si="8"/>
        <v>24.75</v>
      </c>
      <c r="S40" s="17">
        <f t="shared" si="8"/>
        <v>33</v>
      </c>
      <c r="T40" s="17">
        <f t="shared" si="8"/>
        <v>24.75</v>
      </c>
      <c r="U40" s="17">
        <f t="shared" si="8"/>
        <v>16.5</v>
      </c>
      <c r="V40" s="17">
        <f t="shared" si="8"/>
        <v>8.25</v>
      </c>
      <c r="W40" s="17">
        <f t="shared" si="8"/>
        <v>16.5</v>
      </c>
    </row>
    <row r="41" spans="1:23" ht="15.6" x14ac:dyDescent="0.3">
      <c r="A41" s="19">
        <f t="shared" si="1"/>
        <v>234</v>
      </c>
      <c r="B41" s="17">
        <f t="shared" si="2"/>
        <v>46.8</v>
      </c>
      <c r="C41" s="17">
        <f t="shared" si="3"/>
        <v>187.2</v>
      </c>
      <c r="D41" s="6" t="s">
        <v>40</v>
      </c>
      <c r="E41" s="17">
        <v>65</v>
      </c>
      <c r="F41" s="16">
        <v>0.05</v>
      </c>
      <c r="G41" s="17">
        <f t="shared" si="9"/>
        <v>3.25</v>
      </c>
      <c r="H41" s="17">
        <f t="shared" si="10"/>
        <v>68.25</v>
      </c>
      <c r="I41" s="17">
        <f t="shared" si="6"/>
        <v>6.5</v>
      </c>
      <c r="J41" s="17">
        <f t="shared" si="8"/>
        <v>3.9</v>
      </c>
      <c r="K41" s="17">
        <f t="shared" si="8"/>
        <v>5.85</v>
      </c>
      <c r="L41" s="17">
        <f t="shared" si="8"/>
        <v>6.5</v>
      </c>
      <c r="M41" s="17">
        <f t="shared" si="8"/>
        <v>9.75</v>
      </c>
      <c r="N41" s="17">
        <f t="shared" si="8"/>
        <v>13</v>
      </c>
      <c r="O41" s="17">
        <f t="shared" si="8"/>
        <v>13</v>
      </c>
      <c r="P41" s="17">
        <f t="shared" si="8"/>
        <v>5.85</v>
      </c>
      <c r="Q41" s="17">
        <f t="shared" si="8"/>
        <v>5.85</v>
      </c>
      <c r="R41" s="17">
        <f t="shared" si="8"/>
        <v>9.75</v>
      </c>
      <c r="S41" s="17">
        <f t="shared" si="8"/>
        <v>13</v>
      </c>
      <c r="T41" s="17">
        <f t="shared" si="8"/>
        <v>9.75</v>
      </c>
      <c r="U41" s="17">
        <f t="shared" si="8"/>
        <v>6.5</v>
      </c>
      <c r="V41" s="17">
        <f t="shared" si="8"/>
        <v>3.25</v>
      </c>
      <c r="W41" s="17">
        <f t="shared" si="8"/>
        <v>6.5</v>
      </c>
    </row>
    <row r="42" spans="1:23" ht="15.6" x14ac:dyDescent="0.3">
      <c r="A42" s="19">
        <f t="shared" si="1"/>
        <v>23.4</v>
      </c>
      <c r="B42" s="17">
        <f t="shared" si="2"/>
        <v>4.68</v>
      </c>
      <c r="C42" s="17">
        <f t="shared" si="3"/>
        <v>18.72</v>
      </c>
      <c r="D42" s="6" t="s">
        <v>42</v>
      </c>
      <c r="E42" s="17">
        <v>6.5</v>
      </c>
      <c r="F42" s="16">
        <v>0.05</v>
      </c>
      <c r="G42" s="17">
        <f t="shared" si="9"/>
        <v>0.32500000000000001</v>
      </c>
      <c r="H42" s="17">
        <f t="shared" si="10"/>
        <v>6.8250000000000002</v>
      </c>
      <c r="I42" s="17">
        <f t="shared" si="6"/>
        <v>0.65</v>
      </c>
      <c r="J42" s="17">
        <f t="shared" si="8"/>
        <v>0.39</v>
      </c>
      <c r="K42" s="17">
        <f t="shared" si="8"/>
        <v>0.58499999999999996</v>
      </c>
      <c r="L42" s="17">
        <f t="shared" si="8"/>
        <v>0.65</v>
      </c>
      <c r="M42" s="17">
        <f t="shared" si="8"/>
        <v>0.97499999999999998</v>
      </c>
      <c r="N42" s="17">
        <f t="shared" si="8"/>
        <v>1.3</v>
      </c>
      <c r="O42" s="17">
        <f t="shared" si="8"/>
        <v>1.3</v>
      </c>
      <c r="P42" s="17">
        <f t="shared" si="8"/>
        <v>0.58499999999999996</v>
      </c>
      <c r="Q42" s="17">
        <f t="shared" si="8"/>
        <v>0.58499999999999996</v>
      </c>
      <c r="R42" s="17">
        <f t="shared" si="8"/>
        <v>0.97499999999999998</v>
      </c>
      <c r="S42" s="17">
        <f t="shared" si="8"/>
        <v>1.3</v>
      </c>
      <c r="T42" s="17">
        <f t="shared" si="8"/>
        <v>0.97499999999999998</v>
      </c>
      <c r="U42" s="17">
        <f t="shared" si="8"/>
        <v>0.65</v>
      </c>
      <c r="V42" s="17">
        <f t="shared" si="8"/>
        <v>0.32500000000000001</v>
      </c>
      <c r="W42" s="17">
        <f t="shared" si="8"/>
        <v>0.65</v>
      </c>
    </row>
    <row r="43" spans="1:23" ht="15.6" x14ac:dyDescent="0.3">
      <c r="A43" s="19">
        <f t="shared" si="1"/>
        <v>46.8</v>
      </c>
      <c r="B43" s="17">
        <f t="shared" si="2"/>
        <v>9.36</v>
      </c>
      <c r="C43" s="17">
        <f t="shared" si="3"/>
        <v>37.44</v>
      </c>
      <c r="D43" s="6" t="s">
        <v>43</v>
      </c>
      <c r="E43" s="17">
        <v>13</v>
      </c>
      <c r="F43" s="16">
        <v>0.05</v>
      </c>
      <c r="G43" s="17">
        <f t="shared" si="9"/>
        <v>0.65</v>
      </c>
      <c r="H43" s="17">
        <f t="shared" si="10"/>
        <v>13.65</v>
      </c>
      <c r="I43" s="17">
        <f t="shared" si="6"/>
        <v>1.3</v>
      </c>
      <c r="J43" s="17">
        <f t="shared" si="8"/>
        <v>0.78</v>
      </c>
      <c r="K43" s="17">
        <f t="shared" si="8"/>
        <v>1.17</v>
      </c>
      <c r="L43" s="17">
        <f t="shared" si="8"/>
        <v>1.3</v>
      </c>
      <c r="M43" s="17">
        <f t="shared" si="8"/>
        <v>1.95</v>
      </c>
      <c r="N43" s="17">
        <f t="shared" si="8"/>
        <v>2.6</v>
      </c>
      <c r="O43" s="17">
        <f t="shared" si="8"/>
        <v>2.6</v>
      </c>
      <c r="P43" s="17">
        <f t="shared" si="8"/>
        <v>1.17</v>
      </c>
      <c r="Q43" s="17">
        <f t="shared" si="8"/>
        <v>1.17</v>
      </c>
      <c r="R43" s="17">
        <f t="shared" si="8"/>
        <v>1.95</v>
      </c>
      <c r="S43" s="17">
        <f t="shared" si="8"/>
        <v>2.6</v>
      </c>
      <c r="T43" s="17">
        <f t="shared" si="8"/>
        <v>1.95</v>
      </c>
      <c r="U43" s="17">
        <f t="shared" si="8"/>
        <v>1.3</v>
      </c>
      <c r="V43" s="17">
        <f t="shared" si="8"/>
        <v>0.65</v>
      </c>
      <c r="W43" s="17">
        <f t="shared" si="8"/>
        <v>1.3</v>
      </c>
    </row>
    <row r="44" spans="1:23" x14ac:dyDescent="0.3">
      <c r="G44" s="17">
        <f t="shared" si="9"/>
        <v>0</v>
      </c>
      <c r="H44" s="17">
        <f t="shared" si="10"/>
        <v>0</v>
      </c>
      <c r="I44" s="17">
        <f t="shared" si="6"/>
        <v>0</v>
      </c>
      <c r="J44" s="17">
        <f t="shared" si="8"/>
        <v>0</v>
      </c>
      <c r="K44" s="17">
        <f t="shared" si="8"/>
        <v>0</v>
      </c>
      <c r="L44" s="17">
        <f t="shared" si="8"/>
        <v>0</v>
      </c>
      <c r="M44" s="17">
        <f t="shared" si="8"/>
        <v>0</v>
      </c>
      <c r="N44" s="17">
        <f t="shared" si="8"/>
        <v>0</v>
      </c>
      <c r="O44" s="17">
        <f t="shared" si="8"/>
        <v>0</v>
      </c>
      <c r="P44" s="17">
        <f t="shared" si="8"/>
        <v>0</v>
      </c>
      <c r="Q44" s="17">
        <f t="shared" si="8"/>
        <v>0</v>
      </c>
      <c r="R44" s="17">
        <f t="shared" si="8"/>
        <v>0</v>
      </c>
      <c r="S44" s="17">
        <f t="shared" si="8"/>
        <v>0</v>
      </c>
      <c r="T44" s="17">
        <f t="shared" si="8"/>
        <v>0</v>
      </c>
      <c r="U44" s="17">
        <f t="shared" si="8"/>
        <v>0</v>
      </c>
      <c r="V44" s="17">
        <f t="shared" si="8"/>
        <v>0</v>
      </c>
      <c r="W44" s="17">
        <f t="shared" si="8"/>
        <v>0</v>
      </c>
    </row>
    <row r="45" spans="1:23" x14ac:dyDescent="0.3">
      <c r="G45" s="17">
        <f t="shared" si="9"/>
        <v>0</v>
      </c>
      <c r="H45" s="17">
        <f t="shared" si="10"/>
        <v>0</v>
      </c>
      <c r="I45" s="17">
        <f t="shared" si="6"/>
        <v>0</v>
      </c>
      <c r="J45" s="17">
        <f t="shared" si="8"/>
        <v>0</v>
      </c>
      <c r="K45" s="17">
        <f t="shared" si="8"/>
        <v>0</v>
      </c>
      <c r="L45" s="17">
        <f t="shared" si="8"/>
        <v>0</v>
      </c>
      <c r="M45" s="17">
        <f t="shared" si="8"/>
        <v>0</v>
      </c>
      <c r="N45" s="17">
        <f t="shared" si="8"/>
        <v>0</v>
      </c>
      <c r="O45" s="17">
        <f t="shared" si="8"/>
        <v>0</v>
      </c>
      <c r="P45" s="17">
        <f t="shared" si="8"/>
        <v>0</v>
      </c>
      <c r="Q45" s="17">
        <f t="shared" si="8"/>
        <v>0</v>
      </c>
      <c r="R45" s="17">
        <f t="shared" si="8"/>
        <v>0</v>
      </c>
      <c r="S45" s="17">
        <f t="shared" si="8"/>
        <v>0</v>
      </c>
      <c r="T45" s="17">
        <f t="shared" si="8"/>
        <v>0</v>
      </c>
      <c r="U45" s="17">
        <f t="shared" si="8"/>
        <v>0</v>
      </c>
      <c r="V45" s="17">
        <f t="shared" si="8"/>
        <v>0</v>
      </c>
      <c r="W45" s="17">
        <f t="shared" si="8"/>
        <v>0</v>
      </c>
    </row>
    <row r="46" spans="1:23" x14ac:dyDescent="0.3">
      <c r="G46" s="17">
        <f t="shared" si="9"/>
        <v>0</v>
      </c>
      <c r="H46" s="17">
        <f t="shared" si="10"/>
        <v>0</v>
      </c>
      <c r="I46" s="17">
        <f t="shared" si="6"/>
        <v>0</v>
      </c>
      <c r="J46" s="17">
        <f t="shared" si="8"/>
        <v>0</v>
      </c>
      <c r="K46" s="17">
        <f t="shared" si="8"/>
        <v>0</v>
      </c>
      <c r="L46" s="17">
        <f t="shared" si="8"/>
        <v>0</v>
      </c>
      <c r="M46" s="17">
        <f t="shared" si="8"/>
        <v>0</v>
      </c>
      <c r="N46" s="17">
        <f t="shared" si="8"/>
        <v>0</v>
      </c>
      <c r="O46" s="17">
        <f t="shared" si="8"/>
        <v>0</v>
      </c>
      <c r="P46" s="17">
        <f t="shared" si="8"/>
        <v>0</v>
      </c>
      <c r="Q46" s="17">
        <f t="shared" si="8"/>
        <v>0</v>
      </c>
      <c r="R46" s="17">
        <f t="shared" si="8"/>
        <v>0</v>
      </c>
      <c r="S46" s="17">
        <f t="shared" si="8"/>
        <v>0</v>
      </c>
      <c r="T46" s="17">
        <f t="shared" si="8"/>
        <v>0</v>
      </c>
      <c r="U46" s="17">
        <f t="shared" si="8"/>
        <v>0</v>
      </c>
      <c r="V46" s="17">
        <f t="shared" si="8"/>
        <v>0</v>
      </c>
      <c r="W46" s="17">
        <f t="shared" si="8"/>
        <v>0</v>
      </c>
    </row>
    <row r="47" spans="1:23" x14ac:dyDescent="0.3">
      <c r="G47" s="17">
        <f t="shared" si="9"/>
        <v>0</v>
      </c>
      <c r="H47" s="17">
        <f t="shared" si="10"/>
        <v>0</v>
      </c>
      <c r="I47" s="17">
        <f t="shared" si="6"/>
        <v>0</v>
      </c>
      <c r="J47" s="17">
        <f t="shared" si="8"/>
        <v>0</v>
      </c>
      <c r="K47" s="17">
        <f t="shared" si="8"/>
        <v>0</v>
      </c>
      <c r="L47" s="17">
        <f t="shared" si="8"/>
        <v>0</v>
      </c>
      <c r="M47" s="17">
        <f t="shared" si="8"/>
        <v>0</v>
      </c>
      <c r="N47" s="17">
        <f t="shared" si="8"/>
        <v>0</v>
      </c>
      <c r="O47" s="17">
        <f t="shared" si="8"/>
        <v>0</v>
      </c>
      <c r="P47" s="17">
        <f t="shared" si="8"/>
        <v>0</v>
      </c>
      <c r="Q47" s="17">
        <f t="shared" si="8"/>
        <v>0</v>
      </c>
      <c r="R47" s="17">
        <f t="shared" si="8"/>
        <v>0</v>
      </c>
      <c r="S47" s="17">
        <f t="shared" si="8"/>
        <v>0</v>
      </c>
      <c r="T47" s="17">
        <f t="shared" si="8"/>
        <v>0</v>
      </c>
      <c r="U47" s="17">
        <f t="shared" si="8"/>
        <v>0</v>
      </c>
      <c r="V47" s="17">
        <f t="shared" si="8"/>
        <v>0</v>
      </c>
      <c r="W47" s="17">
        <f t="shared" si="8"/>
        <v>0</v>
      </c>
    </row>
    <row r="48" spans="1:23" x14ac:dyDescent="0.3">
      <c r="G48" s="17">
        <f t="shared" si="9"/>
        <v>0</v>
      </c>
      <c r="H48" s="17">
        <f t="shared" si="10"/>
        <v>0</v>
      </c>
      <c r="I48" s="17">
        <f t="shared" si="6"/>
        <v>0</v>
      </c>
      <c r="J48" s="17">
        <f t="shared" si="6"/>
        <v>0</v>
      </c>
      <c r="K48" s="17">
        <f t="shared" si="6"/>
        <v>0</v>
      </c>
      <c r="L48" s="17">
        <f t="shared" si="6"/>
        <v>0</v>
      </c>
      <c r="M48" s="17">
        <f t="shared" si="6"/>
        <v>0</v>
      </c>
      <c r="N48" s="17">
        <f t="shared" si="6"/>
        <v>0</v>
      </c>
      <c r="O48" s="17">
        <f t="shared" si="6"/>
        <v>0</v>
      </c>
      <c r="P48" s="17">
        <f t="shared" si="6"/>
        <v>0</v>
      </c>
      <c r="Q48" s="17">
        <f t="shared" si="6"/>
        <v>0</v>
      </c>
      <c r="R48" s="17">
        <f t="shared" si="6"/>
        <v>0</v>
      </c>
      <c r="S48" s="17">
        <f t="shared" si="6"/>
        <v>0</v>
      </c>
      <c r="T48" s="17">
        <f t="shared" si="6"/>
        <v>0</v>
      </c>
      <c r="U48" s="17">
        <f t="shared" si="6"/>
        <v>0</v>
      </c>
      <c r="V48" s="17">
        <f t="shared" si="6"/>
        <v>0</v>
      </c>
      <c r="W48" s="17">
        <f t="shared" si="6"/>
        <v>0</v>
      </c>
    </row>
    <row r="49" spans="7:23" x14ac:dyDescent="0.3">
      <c r="G49" s="17">
        <f t="shared" si="9"/>
        <v>0</v>
      </c>
      <c r="H49" s="17">
        <f t="shared" si="10"/>
        <v>0</v>
      </c>
      <c r="I49" s="17">
        <f t="shared" ref="I49:W61" si="11">$E49*I$1</f>
        <v>0</v>
      </c>
      <c r="J49" s="17">
        <f t="shared" si="11"/>
        <v>0</v>
      </c>
      <c r="K49" s="17">
        <f t="shared" si="11"/>
        <v>0</v>
      </c>
      <c r="L49" s="17">
        <f t="shared" si="11"/>
        <v>0</v>
      </c>
      <c r="M49" s="17">
        <f t="shared" si="11"/>
        <v>0</v>
      </c>
      <c r="N49" s="17">
        <f t="shared" si="11"/>
        <v>0</v>
      </c>
      <c r="O49" s="17">
        <f t="shared" si="11"/>
        <v>0</v>
      </c>
      <c r="P49" s="17">
        <f t="shared" si="11"/>
        <v>0</v>
      </c>
      <c r="Q49" s="17">
        <f t="shared" si="11"/>
        <v>0</v>
      </c>
      <c r="R49" s="17">
        <f t="shared" si="11"/>
        <v>0</v>
      </c>
      <c r="S49" s="17">
        <f t="shared" si="11"/>
        <v>0</v>
      </c>
      <c r="T49" s="17">
        <f t="shared" si="11"/>
        <v>0</v>
      </c>
      <c r="U49" s="17">
        <f t="shared" si="11"/>
        <v>0</v>
      </c>
      <c r="V49" s="17">
        <f t="shared" si="11"/>
        <v>0</v>
      </c>
      <c r="W49" s="17">
        <f t="shared" si="11"/>
        <v>0</v>
      </c>
    </row>
    <row r="50" spans="7:23" x14ac:dyDescent="0.3">
      <c r="G50" s="17">
        <f t="shared" si="9"/>
        <v>0</v>
      </c>
      <c r="H50" s="17">
        <f t="shared" si="10"/>
        <v>0</v>
      </c>
      <c r="I50" s="17">
        <f t="shared" si="11"/>
        <v>0</v>
      </c>
      <c r="J50" s="17">
        <f t="shared" si="11"/>
        <v>0</v>
      </c>
      <c r="K50" s="17">
        <f t="shared" si="11"/>
        <v>0</v>
      </c>
      <c r="L50" s="17">
        <f t="shared" si="11"/>
        <v>0</v>
      </c>
      <c r="M50" s="17">
        <f t="shared" si="11"/>
        <v>0</v>
      </c>
      <c r="N50" s="17">
        <f t="shared" si="11"/>
        <v>0</v>
      </c>
      <c r="O50" s="17">
        <f t="shared" si="11"/>
        <v>0</v>
      </c>
      <c r="P50" s="17">
        <f t="shared" si="11"/>
        <v>0</v>
      </c>
      <c r="Q50" s="17">
        <f t="shared" si="11"/>
        <v>0</v>
      </c>
      <c r="R50" s="17">
        <f t="shared" si="11"/>
        <v>0</v>
      </c>
      <c r="S50" s="17">
        <f t="shared" si="11"/>
        <v>0</v>
      </c>
      <c r="T50" s="17">
        <f t="shared" si="11"/>
        <v>0</v>
      </c>
      <c r="U50" s="17">
        <f t="shared" si="11"/>
        <v>0</v>
      </c>
      <c r="V50" s="17">
        <f t="shared" si="11"/>
        <v>0</v>
      </c>
      <c r="W50" s="17">
        <f t="shared" si="11"/>
        <v>0</v>
      </c>
    </row>
    <row r="51" spans="7:23" x14ac:dyDescent="0.3">
      <c r="G51" s="17">
        <f t="shared" si="9"/>
        <v>0</v>
      </c>
      <c r="H51" s="17">
        <f t="shared" si="10"/>
        <v>0</v>
      </c>
      <c r="I51" s="17">
        <f t="shared" si="11"/>
        <v>0</v>
      </c>
      <c r="J51" s="17">
        <f t="shared" si="11"/>
        <v>0</v>
      </c>
      <c r="K51" s="17">
        <f t="shared" si="11"/>
        <v>0</v>
      </c>
      <c r="L51" s="17">
        <f t="shared" si="11"/>
        <v>0</v>
      </c>
      <c r="M51" s="17">
        <f t="shared" si="11"/>
        <v>0</v>
      </c>
      <c r="N51" s="17">
        <f t="shared" si="11"/>
        <v>0</v>
      </c>
      <c r="O51" s="17">
        <f t="shared" si="11"/>
        <v>0</v>
      </c>
      <c r="P51" s="17">
        <f t="shared" si="11"/>
        <v>0</v>
      </c>
      <c r="Q51" s="17">
        <f t="shared" si="11"/>
        <v>0</v>
      </c>
      <c r="R51" s="17">
        <f t="shared" si="11"/>
        <v>0</v>
      </c>
      <c r="S51" s="17">
        <f t="shared" si="11"/>
        <v>0</v>
      </c>
      <c r="T51" s="17">
        <f t="shared" si="11"/>
        <v>0</v>
      </c>
      <c r="U51" s="17">
        <f t="shared" si="11"/>
        <v>0</v>
      </c>
      <c r="V51" s="17">
        <f t="shared" si="11"/>
        <v>0</v>
      </c>
      <c r="W51" s="17">
        <f t="shared" si="11"/>
        <v>0</v>
      </c>
    </row>
    <row r="52" spans="7:23" x14ac:dyDescent="0.3">
      <c r="G52" s="17">
        <f t="shared" si="9"/>
        <v>0</v>
      </c>
      <c r="H52" s="17">
        <f t="shared" si="10"/>
        <v>0</v>
      </c>
      <c r="I52" s="17">
        <f t="shared" si="11"/>
        <v>0</v>
      </c>
      <c r="J52" s="17">
        <f t="shared" si="11"/>
        <v>0</v>
      </c>
      <c r="K52" s="17">
        <f t="shared" si="11"/>
        <v>0</v>
      </c>
      <c r="L52" s="17">
        <f t="shared" si="11"/>
        <v>0</v>
      </c>
      <c r="M52" s="17">
        <f t="shared" si="11"/>
        <v>0</v>
      </c>
      <c r="N52" s="17">
        <f t="shared" si="11"/>
        <v>0</v>
      </c>
      <c r="O52" s="17">
        <f t="shared" si="11"/>
        <v>0</v>
      </c>
      <c r="P52" s="17">
        <f t="shared" si="11"/>
        <v>0</v>
      </c>
      <c r="Q52" s="17">
        <f t="shared" si="11"/>
        <v>0</v>
      </c>
      <c r="R52" s="17">
        <f t="shared" si="11"/>
        <v>0</v>
      </c>
      <c r="S52" s="17">
        <f t="shared" si="11"/>
        <v>0</v>
      </c>
      <c r="T52" s="17">
        <f t="shared" si="11"/>
        <v>0</v>
      </c>
      <c r="U52" s="17">
        <f t="shared" si="11"/>
        <v>0</v>
      </c>
      <c r="V52" s="17">
        <f t="shared" si="11"/>
        <v>0</v>
      </c>
      <c r="W52" s="17">
        <f t="shared" si="11"/>
        <v>0</v>
      </c>
    </row>
    <row r="53" spans="7:23" x14ac:dyDescent="0.3">
      <c r="G53" s="17">
        <f t="shared" si="9"/>
        <v>0</v>
      </c>
      <c r="H53" s="17">
        <f t="shared" si="10"/>
        <v>0</v>
      </c>
      <c r="I53" s="17">
        <f t="shared" si="11"/>
        <v>0</v>
      </c>
      <c r="J53" s="17">
        <f t="shared" si="11"/>
        <v>0</v>
      </c>
      <c r="K53" s="17">
        <f t="shared" si="11"/>
        <v>0</v>
      </c>
      <c r="L53" s="17">
        <f t="shared" si="11"/>
        <v>0</v>
      </c>
      <c r="M53" s="17">
        <f t="shared" si="11"/>
        <v>0</v>
      </c>
      <c r="N53" s="17">
        <f t="shared" si="11"/>
        <v>0</v>
      </c>
      <c r="O53" s="17">
        <f t="shared" si="11"/>
        <v>0</v>
      </c>
      <c r="P53" s="17">
        <f t="shared" si="11"/>
        <v>0</v>
      </c>
      <c r="Q53" s="17">
        <f t="shared" si="11"/>
        <v>0</v>
      </c>
      <c r="R53" s="17">
        <f t="shared" si="11"/>
        <v>0</v>
      </c>
      <c r="S53" s="17">
        <f t="shared" si="11"/>
        <v>0</v>
      </c>
      <c r="T53" s="17">
        <f t="shared" si="11"/>
        <v>0</v>
      </c>
      <c r="U53" s="17">
        <f t="shared" si="11"/>
        <v>0</v>
      </c>
      <c r="V53" s="17">
        <f t="shared" si="11"/>
        <v>0</v>
      </c>
      <c r="W53" s="17">
        <f t="shared" si="11"/>
        <v>0</v>
      </c>
    </row>
    <row r="54" spans="7:23" x14ac:dyDescent="0.3">
      <c r="G54" s="17">
        <f t="shared" si="9"/>
        <v>0</v>
      </c>
      <c r="H54" s="17">
        <f t="shared" si="10"/>
        <v>0</v>
      </c>
      <c r="I54" s="17">
        <f t="shared" si="11"/>
        <v>0</v>
      </c>
      <c r="J54" s="17">
        <f t="shared" si="11"/>
        <v>0</v>
      </c>
      <c r="K54" s="17">
        <f t="shared" si="11"/>
        <v>0</v>
      </c>
      <c r="L54" s="17">
        <f t="shared" si="11"/>
        <v>0</v>
      </c>
      <c r="M54" s="17">
        <f t="shared" si="11"/>
        <v>0</v>
      </c>
      <c r="N54" s="17">
        <f t="shared" si="11"/>
        <v>0</v>
      </c>
      <c r="O54" s="17">
        <f t="shared" si="11"/>
        <v>0</v>
      </c>
      <c r="P54" s="17">
        <f t="shared" si="11"/>
        <v>0</v>
      </c>
      <c r="Q54" s="17">
        <f t="shared" si="11"/>
        <v>0</v>
      </c>
      <c r="R54" s="17">
        <f t="shared" si="11"/>
        <v>0</v>
      </c>
      <c r="S54" s="17">
        <f t="shared" si="11"/>
        <v>0</v>
      </c>
      <c r="T54" s="17">
        <f t="shared" si="11"/>
        <v>0</v>
      </c>
      <c r="U54" s="17">
        <f t="shared" si="11"/>
        <v>0</v>
      </c>
      <c r="V54" s="17">
        <f t="shared" si="11"/>
        <v>0</v>
      </c>
      <c r="W54" s="17">
        <f t="shared" si="11"/>
        <v>0</v>
      </c>
    </row>
    <row r="55" spans="7:23" x14ac:dyDescent="0.3">
      <c r="G55" s="17">
        <f t="shared" si="9"/>
        <v>0</v>
      </c>
      <c r="H55" s="17">
        <f t="shared" si="10"/>
        <v>0</v>
      </c>
      <c r="I55" s="17">
        <f t="shared" si="11"/>
        <v>0</v>
      </c>
      <c r="J55" s="17">
        <f t="shared" si="11"/>
        <v>0</v>
      </c>
      <c r="K55" s="17">
        <f t="shared" si="11"/>
        <v>0</v>
      </c>
      <c r="L55" s="17">
        <f t="shared" si="11"/>
        <v>0</v>
      </c>
      <c r="M55" s="17">
        <f t="shared" si="11"/>
        <v>0</v>
      </c>
      <c r="N55" s="17">
        <f t="shared" si="11"/>
        <v>0</v>
      </c>
      <c r="O55" s="17">
        <f t="shared" si="11"/>
        <v>0</v>
      </c>
      <c r="P55" s="17">
        <f t="shared" si="11"/>
        <v>0</v>
      </c>
      <c r="Q55" s="17">
        <f t="shared" si="11"/>
        <v>0</v>
      </c>
      <c r="R55" s="17">
        <f t="shared" si="11"/>
        <v>0</v>
      </c>
      <c r="S55" s="17">
        <f t="shared" si="11"/>
        <v>0</v>
      </c>
      <c r="T55" s="17">
        <f t="shared" si="11"/>
        <v>0</v>
      </c>
      <c r="U55" s="17">
        <f t="shared" si="11"/>
        <v>0</v>
      </c>
      <c r="V55" s="17">
        <f t="shared" si="11"/>
        <v>0</v>
      </c>
      <c r="W55" s="17">
        <f t="shared" si="11"/>
        <v>0</v>
      </c>
    </row>
    <row r="56" spans="7:23" x14ac:dyDescent="0.3">
      <c r="G56" s="17">
        <f t="shared" si="9"/>
        <v>0</v>
      </c>
      <c r="H56" s="17">
        <f t="shared" si="10"/>
        <v>0</v>
      </c>
      <c r="I56" s="17">
        <f t="shared" si="11"/>
        <v>0</v>
      </c>
      <c r="J56" s="17">
        <f t="shared" si="11"/>
        <v>0</v>
      </c>
      <c r="K56" s="17">
        <f t="shared" si="11"/>
        <v>0</v>
      </c>
      <c r="L56" s="17">
        <f t="shared" si="11"/>
        <v>0</v>
      </c>
      <c r="M56" s="17">
        <f t="shared" si="11"/>
        <v>0</v>
      </c>
      <c r="N56" s="17">
        <f t="shared" si="11"/>
        <v>0</v>
      </c>
      <c r="O56" s="17">
        <f t="shared" si="11"/>
        <v>0</v>
      </c>
      <c r="P56" s="17">
        <f t="shared" si="11"/>
        <v>0</v>
      </c>
      <c r="Q56" s="17">
        <f t="shared" si="11"/>
        <v>0</v>
      </c>
      <c r="R56" s="17">
        <f t="shared" si="11"/>
        <v>0</v>
      </c>
      <c r="S56" s="17">
        <f t="shared" si="11"/>
        <v>0</v>
      </c>
      <c r="T56" s="17">
        <f t="shared" si="11"/>
        <v>0</v>
      </c>
      <c r="U56" s="17">
        <f t="shared" si="11"/>
        <v>0</v>
      </c>
      <c r="V56" s="17">
        <f t="shared" si="11"/>
        <v>0</v>
      </c>
      <c r="W56" s="17">
        <f t="shared" si="11"/>
        <v>0</v>
      </c>
    </row>
    <row r="57" spans="7:23" x14ac:dyDescent="0.3">
      <c r="G57" s="17">
        <f t="shared" si="9"/>
        <v>0</v>
      </c>
      <c r="H57" s="17">
        <f t="shared" si="10"/>
        <v>0</v>
      </c>
      <c r="I57" s="17">
        <f t="shared" si="11"/>
        <v>0</v>
      </c>
      <c r="J57" s="17">
        <f t="shared" si="11"/>
        <v>0</v>
      </c>
      <c r="K57" s="17">
        <f t="shared" si="11"/>
        <v>0</v>
      </c>
      <c r="L57" s="17">
        <f t="shared" si="11"/>
        <v>0</v>
      </c>
      <c r="M57" s="17">
        <f t="shared" si="11"/>
        <v>0</v>
      </c>
      <c r="N57" s="17">
        <f t="shared" si="11"/>
        <v>0</v>
      </c>
      <c r="O57" s="17">
        <f t="shared" si="11"/>
        <v>0</v>
      </c>
      <c r="P57" s="17">
        <f t="shared" si="11"/>
        <v>0</v>
      </c>
      <c r="Q57" s="17">
        <f t="shared" si="11"/>
        <v>0</v>
      </c>
      <c r="R57" s="17">
        <f t="shared" si="11"/>
        <v>0</v>
      </c>
      <c r="S57" s="17">
        <f t="shared" si="11"/>
        <v>0</v>
      </c>
      <c r="T57" s="17">
        <f t="shared" si="11"/>
        <v>0</v>
      </c>
      <c r="U57" s="17">
        <f t="shared" si="11"/>
        <v>0</v>
      </c>
      <c r="V57" s="17">
        <f t="shared" si="11"/>
        <v>0</v>
      </c>
      <c r="W57" s="17">
        <f t="shared" si="11"/>
        <v>0</v>
      </c>
    </row>
    <row r="58" spans="7:23" x14ac:dyDescent="0.3">
      <c r="G58" s="17">
        <f t="shared" si="9"/>
        <v>0</v>
      </c>
      <c r="H58" s="17">
        <f t="shared" si="10"/>
        <v>0</v>
      </c>
      <c r="I58" s="17">
        <f t="shared" si="11"/>
        <v>0</v>
      </c>
      <c r="J58" s="17">
        <f t="shared" si="11"/>
        <v>0</v>
      </c>
      <c r="K58" s="17">
        <f t="shared" si="11"/>
        <v>0</v>
      </c>
      <c r="L58" s="17">
        <f t="shared" si="11"/>
        <v>0</v>
      </c>
      <c r="M58" s="17">
        <f t="shared" si="11"/>
        <v>0</v>
      </c>
      <c r="N58" s="17">
        <f t="shared" si="11"/>
        <v>0</v>
      </c>
      <c r="O58" s="17">
        <f t="shared" si="11"/>
        <v>0</v>
      </c>
      <c r="P58" s="17">
        <f t="shared" si="11"/>
        <v>0</v>
      </c>
      <c r="Q58" s="17">
        <f t="shared" si="11"/>
        <v>0</v>
      </c>
      <c r="R58" s="17">
        <f t="shared" si="11"/>
        <v>0</v>
      </c>
      <c r="S58" s="17">
        <f t="shared" si="11"/>
        <v>0</v>
      </c>
      <c r="T58" s="17">
        <f t="shared" si="11"/>
        <v>0</v>
      </c>
      <c r="U58" s="17">
        <f t="shared" si="11"/>
        <v>0</v>
      </c>
      <c r="V58" s="17">
        <f t="shared" si="11"/>
        <v>0</v>
      </c>
      <c r="W58" s="17">
        <f t="shared" si="11"/>
        <v>0</v>
      </c>
    </row>
    <row r="59" spans="7:23" x14ac:dyDescent="0.3">
      <c r="G59" s="17">
        <f t="shared" si="9"/>
        <v>0</v>
      </c>
      <c r="H59" s="17">
        <f t="shared" si="10"/>
        <v>0</v>
      </c>
      <c r="I59" s="17">
        <f t="shared" si="11"/>
        <v>0</v>
      </c>
      <c r="J59" s="17">
        <f t="shared" si="11"/>
        <v>0</v>
      </c>
      <c r="K59" s="17">
        <f t="shared" si="11"/>
        <v>0</v>
      </c>
      <c r="L59" s="17">
        <f t="shared" si="11"/>
        <v>0</v>
      </c>
      <c r="M59" s="17">
        <f t="shared" si="11"/>
        <v>0</v>
      </c>
      <c r="N59" s="17">
        <f t="shared" si="11"/>
        <v>0</v>
      </c>
      <c r="O59" s="17">
        <f t="shared" si="11"/>
        <v>0</v>
      </c>
      <c r="P59" s="17">
        <f t="shared" si="11"/>
        <v>0</v>
      </c>
      <c r="Q59" s="17">
        <f t="shared" si="11"/>
        <v>0</v>
      </c>
      <c r="R59" s="17">
        <f t="shared" si="11"/>
        <v>0</v>
      </c>
      <c r="S59" s="17">
        <f t="shared" si="11"/>
        <v>0</v>
      </c>
      <c r="T59" s="17">
        <f t="shared" si="11"/>
        <v>0</v>
      </c>
      <c r="U59" s="17">
        <f t="shared" si="11"/>
        <v>0</v>
      </c>
      <c r="V59" s="17">
        <f t="shared" si="11"/>
        <v>0</v>
      </c>
      <c r="W59" s="17">
        <f t="shared" si="11"/>
        <v>0</v>
      </c>
    </row>
    <row r="60" spans="7:23" x14ac:dyDescent="0.3">
      <c r="G60" s="17">
        <f t="shared" si="9"/>
        <v>0</v>
      </c>
      <c r="H60" s="17">
        <f t="shared" si="10"/>
        <v>0</v>
      </c>
      <c r="I60" s="17">
        <f t="shared" si="11"/>
        <v>0</v>
      </c>
      <c r="J60" s="17">
        <f t="shared" si="11"/>
        <v>0</v>
      </c>
      <c r="K60" s="17">
        <f t="shared" si="11"/>
        <v>0</v>
      </c>
      <c r="L60" s="17">
        <f t="shared" si="11"/>
        <v>0</v>
      </c>
      <c r="M60" s="17">
        <f t="shared" si="11"/>
        <v>0</v>
      </c>
      <c r="N60" s="17">
        <f t="shared" si="11"/>
        <v>0</v>
      </c>
      <c r="O60" s="17">
        <f t="shared" si="11"/>
        <v>0</v>
      </c>
      <c r="P60" s="17">
        <f t="shared" si="11"/>
        <v>0</v>
      </c>
      <c r="Q60" s="17">
        <f t="shared" si="11"/>
        <v>0</v>
      </c>
      <c r="R60" s="17">
        <f t="shared" si="11"/>
        <v>0</v>
      </c>
      <c r="S60" s="17">
        <f t="shared" si="11"/>
        <v>0</v>
      </c>
      <c r="T60" s="17">
        <f t="shared" si="11"/>
        <v>0</v>
      </c>
      <c r="U60" s="17">
        <f t="shared" si="11"/>
        <v>0</v>
      </c>
      <c r="V60" s="17">
        <f t="shared" si="11"/>
        <v>0</v>
      </c>
      <c r="W60" s="17">
        <f t="shared" si="11"/>
        <v>0</v>
      </c>
    </row>
    <row r="61" spans="7:23" x14ac:dyDescent="0.3">
      <c r="G61" s="17">
        <f t="shared" si="9"/>
        <v>0</v>
      </c>
      <c r="H61" s="17">
        <f t="shared" si="10"/>
        <v>0</v>
      </c>
      <c r="I61" s="17">
        <f t="shared" si="11"/>
        <v>0</v>
      </c>
      <c r="J61" s="17">
        <f t="shared" si="11"/>
        <v>0</v>
      </c>
      <c r="K61" s="17">
        <f t="shared" si="11"/>
        <v>0</v>
      </c>
      <c r="L61" s="17">
        <f t="shared" si="11"/>
        <v>0</v>
      </c>
      <c r="M61" s="17">
        <f t="shared" si="11"/>
        <v>0</v>
      </c>
      <c r="N61" s="17">
        <f t="shared" si="11"/>
        <v>0</v>
      </c>
      <c r="O61" s="17">
        <f t="shared" si="11"/>
        <v>0</v>
      </c>
      <c r="P61" s="17">
        <f t="shared" si="11"/>
        <v>0</v>
      </c>
      <c r="Q61" s="17">
        <f t="shared" si="11"/>
        <v>0</v>
      </c>
      <c r="R61" s="17">
        <f t="shared" si="11"/>
        <v>0</v>
      </c>
      <c r="S61" s="17">
        <f t="shared" si="11"/>
        <v>0</v>
      </c>
      <c r="T61" s="17">
        <f t="shared" si="11"/>
        <v>0</v>
      </c>
      <c r="U61" s="17">
        <f t="shared" si="11"/>
        <v>0</v>
      </c>
      <c r="V61" s="17">
        <f t="shared" si="11"/>
        <v>0</v>
      </c>
      <c r="W61" s="17">
        <f t="shared" si="1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AGROCOPS PRODUCT COST</vt:lpstr>
      <vt:lpstr>MANUFACTURED PRODUCT RAW LIST</vt:lpstr>
      <vt:lpstr>PRODUCT WISE MONTHLY COST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Prasad</dc:creator>
  <cp:lastModifiedBy>Dhanush Prasad</cp:lastModifiedBy>
  <dcterms:created xsi:type="dcterms:W3CDTF">2026-06-09T10:01:11Z</dcterms:created>
  <dcterms:modified xsi:type="dcterms:W3CDTF">2026-06-13T05:27:02Z</dcterms:modified>
</cp:coreProperties>
</file>